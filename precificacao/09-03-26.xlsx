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d.docs.live.net/1c49e43313b579da/Desktop/financeiro/precificacao/"/>
    </mc:Choice>
  </mc:AlternateContent>
  <xr:revisionPtr revIDLastSave="707" documentId="13_ncr:1_{120B57FB-8FBC-42BA-A464-E43E69B7AE4D}" xr6:coauthVersionLast="47" xr6:coauthVersionMax="47" xr10:uidLastSave="{13042414-82DC-436C-8826-6337D8C7A229}"/>
  <bookViews>
    <workbookView xWindow="-105" yWindow="0" windowWidth="14610" windowHeight="15585" xr2:uid="{290C3099-A1C5-43F6-90B3-74D994C890FF}"/>
  </bookViews>
  <sheets>
    <sheet name="Shopee" sheetId="1" r:id="rId1"/>
    <sheet name="Shein" sheetId="4" r:id="rId2"/>
    <sheet name="Tabela de Preço(TESTE)" sheetId="3" r:id="rId3"/>
    <sheet name="Média de preço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5" i="1" l="1"/>
  <c r="K35" i="1"/>
  <c r="L35" i="1" s="1"/>
  <c r="K33" i="1"/>
  <c r="L33" i="1" s="1"/>
  <c r="N33" i="1"/>
  <c r="O33" i="1" s="1"/>
  <c r="N37" i="1"/>
  <c r="K37" i="1"/>
  <c r="L37" i="1" s="1"/>
  <c r="N36" i="1"/>
  <c r="K36" i="1"/>
  <c r="L36" i="1" s="1"/>
  <c r="P35" i="1" l="1"/>
  <c r="O35" i="1"/>
  <c r="P33" i="1"/>
  <c r="P37" i="1"/>
  <c r="O37" i="1"/>
  <c r="P36" i="1"/>
  <c r="O36" i="1"/>
  <c r="R35" i="1" l="1"/>
  <c r="Q35" i="1"/>
  <c r="Q33" i="1"/>
  <c r="R33" i="1"/>
  <c r="R37" i="1"/>
  <c r="Q37" i="1"/>
  <c r="R36" i="1"/>
  <c r="Q36" i="1"/>
  <c r="N18" i="1" l="1"/>
  <c r="K18" i="1"/>
  <c r="L18" i="1" s="1"/>
  <c r="N41" i="1"/>
  <c r="N42" i="1"/>
  <c r="N43" i="1"/>
  <c r="N44" i="1"/>
  <c r="N14" i="1"/>
  <c r="N15" i="1"/>
  <c r="N16" i="1"/>
  <c r="N13" i="1"/>
  <c r="N17" i="1"/>
  <c r="N19" i="1"/>
  <c r="L70" i="1"/>
  <c r="L68" i="1"/>
  <c r="S36" i="2"/>
  <c r="Q36" i="2"/>
  <c r="R36" i="2" s="1"/>
  <c r="S35" i="2"/>
  <c r="Q35" i="2"/>
  <c r="R35" i="2" s="1"/>
  <c r="S34" i="2"/>
  <c r="Q34" i="2"/>
  <c r="R34" i="2" s="1"/>
  <c r="Q33" i="2"/>
  <c r="R33" i="2" s="1"/>
  <c r="Q32" i="2"/>
  <c r="R32" i="2" s="1"/>
  <c r="N70" i="1"/>
  <c r="K70" i="1"/>
  <c r="N69" i="1"/>
  <c r="K69" i="1"/>
  <c r="L69" i="1" s="1"/>
  <c r="N68" i="1"/>
  <c r="K68" i="1"/>
  <c r="N67" i="1"/>
  <c r="O67" i="1" s="1"/>
  <c r="K67" i="1"/>
  <c r="L67" i="1" s="1"/>
  <c r="K65" i="1"/>
  <c r="L65" i="1" s="1"/>
  <c r="N65" i="1"/>
  <c r="O65" i="1" s="1"/>
  <c r="K62" i="1"/>
  <c r="L62" i="1" s="1"/>
  <c r="N62" i="1"/>
  <c r="O62" i="1" s="1"/>
  <c r="K63" i="1"/>
  <c r="L63" i="1" s="1"/>
  <c r="N63" i="1"/>
  <c r="O63" i="1" s="1"/>
  <c r="K64" i="1"/>
  <c r="L64" i="1" s="1"/>
  <c r="N64" i="1"/>
  <c r="O64" i="1" s="1"/>
  <c r="K60" i="1"/>
  <c r="L60" i="1" s="1"/>
  <c r="N60" i="1"/>
  <c r="K61" i="1"/>
  <c r="L61" i="1" s="1"/>
  <c r="N61" i="1"/>
  <c r="O61" i="1" s="1"/>
  <c r="K59" i="1"/>
  <c r="L59" i="1" s="1"/>
  <c r="N59" i="1"/>
  <c r="O59" i="1" s="1"/>
  <c r="K57" i="1"/>
  <c r="L57" i="1" s="1"/>
  <c r="N57" i="1"/>
  <c r="O57" i="1" s="1"/>
  <c r="K58" i="1"/>
  <c r="L58" i="1" s="1"/>
  <c r="N58" i="1"/>
  <c r="O58" i="1" s="1"/>
  <c r="N56" i="1"/>
  <c r="K56" i="1"/>
  <c r="L56" i="1" s="1"/>
  <c r="Q30" i="2"/>
  <c r="R30" i="2" s="1"/>
  <c r="K54" i="1"/>
  <c r="L54" i="1" s="1"/>
  <c r="N54" i="1"/>
  <c r="O54" i="1" s="1"/>
  <c r="N34" i="1"/>
  <c r="K34" i="1"/>
  <c r="L34" i="1" s="1"/>
  <c r="N31" i="1"/>
  <c r="N32" i="1"/>
  <c r="N30" i="1"/>
  <c r="N47" i="4"/>
  <c r="M47" i="4"/>
  <c r="O47" i="4" s="1"/>
  <c r="P47" i="4" s="1"/>
  <c r="K47" i="4"/>
  <c r="M46" i="4"/>
  <c r="O46" i="4" s="1"/>
  <c r="P46" i="4" s="1"/>
  <c r="K46" i="4"/>
  <c r="M44" i="4"/>
  <c r="O44" i="4" s="1"/>
  <c r="P44" i="4" s="1"/>
  <c r="K44" i="4"/>
  <c r="M43" i="4"/>
  <c r="N43" i="4" s="1"/>
  <c r="K43" i="4"/>
  <c r="O42" i="4"/>
  <c r="P42" i="4" s="1"/>
  <c r="M42" i="4"/>
  <c r="N42" i="4" s="1"/>
  <c r="K42" i="4"/>
  <c r="N41" i="4"/>
  <c r="M41" i="4"/>
  <c r="K41" i="4"/>
  <c r="O41" i="4" s="1"/>
  <c r="P41" i="4" s="1"/>
  <c r="N39" i="4"/>
  <c r="M39" i="4"/>
  <c r="O39" i="4" s="1"/>
  <c r="P39" i="4" s="1"/>
  <c r="K39" i="4"/>
  <c r="N38" i="4"/>
  <c r="M38" i="4"/>
  <c r="O38" i="4" s="1"/>
  <c r="P38" i="4" s="1"/>
  <c r="K38" i="4"/>
  <c r="O37" i="4"/>
  <c r="P37" i="4" s="1"/>
  <c r="M37" i="4"/>
  <c r="N37" i="4" s="1"/>
  <c r="K37" i="4"/>
  <c r="M36" i="4"/>
  <c r="O36" i="4" s="1"/>
  <c r="P36" i="4" s="1"/>
  <c r="K36" i="4"/>
  <c r="M35" i="4"/>
  <c r="O35" i="4" s="1"/>
  <c r="P35" i="4" s="1"/>
  <c r="K35" i="4"/>
  <c r="N34" i="4"/>
  <c r="M34" i="4"/>
  <c r="K34" i="4"/>
  <c r="O34" i="4" s="1"/>
  <c r="P34" i="4" s="1"/>
  <c r="O32" i="4"/>
  <c r="P32" i="4" s="1"/>
  <c r="M32" i="4"/>
  <c r="N32" i="4" s="1"/>
  <c r="K32" i="4"/>
  <c r="O31" i="4"/>
  <c r="P31" i="4" s="1"/>
  <c r="N31" i="4"/>
  <c r="M31" i="4"/>
  <c r="K31" i="4"/>
  <c r="M30" i="4"/>
  <c r="N30" i="4" s="1"/>
  <c r="K30" i="4"/>
  <c r="N29" i="4"/>
  <c r="M29" i="4"/>
  <c r="K29" i="4"/>
  <c r="O29" i="4" s="1"/>
  <c r="P29" i="4" s="1"/>
  <c r="N28" i="4"/>
  <c r="M28" i="4"/>
  <c r="O28" i="4" s="1"/>
  <c r="P28" i="4" s="1"/>
  <c r="K28" i="4"/>
  <c r="M27" i="4"/>
  <c r="O27" i="4" s="1"/>
  <c r="P27" i="4" s="1"/>
  <c r="K27" i="4"/>
  <c r="M25" i="4"/>
  <c r="O25" i="4" s="1"/>
  <c r="P25" i="4" s="1"/>
  <c r="K25" i="4"/>
  <c r="M24" i="4"/>
  <c r="N24" i="4" s="1"/>
  <c r="K24" i="4"/>
  <c r="N23" i="4"/>
  <c r="M23" i="4"/>
  <c r="K23" i="4"/>
  <c r="O23" i="4" s="1"/>
  <c r="P23" i="4" s="1"/>
  <c r="N22" i="4"/>
  <c r="M22" i="4"/>
  <c r="K22" i="4"/>
  <c r="O22" i="4" s="1"/>
  <c r="P22" i="4" s="1"/>
  <c r="N21" i="4"/>
  <c r="M21" i="4"/>
  <c r="K21" i="4"/>
  <c r="O21" i="4" s="1"/>
  <c r="P21" i="4" s="1"/>
  <c r="N20" i="4"/>
  <c r="M20" i="4"/>
  <c r="O20" i="4" s="1"/>
  <c r="P20" i="4" s="1"/>
  <c r="K20" i="4"/>
  <c r="M18" i="4"/>
  <c r="O18" i="4" s="1"/>
  <c r="P18" i="4" s="1"/>
  <c r="K18" i="4"/>
  <c r="M17" i="4"/>
  <c r="O17" i="4" s="1"/>
  <c r="P17" i="4" s="1"/>
  <c r="K17" i="4"/>
  <c r="M16" i="4"/>
  <c r="O16" i="4" s="1"/>
  <c r="P16" i="4" s="1"/>
  <c r="K16" i="4"/>
  <c r="N15" i="4"/>
  <c r="M15" i="4"/>
  <c r="K15" i="4"/>
  <c r="O15" i="4" s="1"/>
  <c r="P15" i="4" s="1"/>
  <c r="O14" i="4"/>
  <c r="P14" i="4" s="1"/>
  <c r="M14" i="4"/>
  <c r="N14" i="4" s="1"/>
  <c r="K14" i="4"/>
  <c r="O13" i="4"/>
  <c r="P13" i="4" s="1"/>
  <c r="N13" i="4"/>
  <c r="M13" i="4"/>
  <c r="K13" i="4"/>
  <c r="M12" i="4"/>
  <c r="N12" i="4" s="1"/>
  <c r="K12" i="4"/>
  <c r="N11" i="4"/>
  <c r="M11" i="4"/>
  <c r="K11" i="4"/>
  <c r="O11" i="4" s="1"/>
  <c r="P11" i="4" s="1"/>
  <c r="N10" i="4"/>
  <c r="M10" i="4"/>
  <c r="O10" i="4" s="1"/>
  <c r="P10" i="4" s="1"/>
  <c r="K10" i="4"/>
  <c r="M9" i="4"/>
  <c r="O9" i="4" s="1"/>
  <c r="P9" i="4" s="1"/>
  <c r="K9" i="4"/>
  <c r="M8" i="4"/>
  <c r="O8" i="4" s="1"/>
  <c r="P8" i="4" s="1"/>
  <c r="K8" i="4"/>
  <c r="M7" i="4"/>
  <c r="N7" i="4" s="1"/>
  <c r="K7" i="4"/>
  <c r="N6" i="4"/>
  <c r="M6" i="4"/>
  <c r="K6" i="4"/>
  <c r="O6" i="4" s="1"/>
  <c r="P6" i="4" s="1"/>
  <c r="N5" i="4"/>
  <c r="M5" i="4"/>
  <c r="K5" i="4"/>
  <c r="O5" i="4" s="1"/>
  <c r="P5" i="4" s="1"/>
  <c r="N4" i="4"/>
  <c r="M4" i="4"/>
  <c r="K4" i="4"/>
  <c r="O4" i="4" s="1"/>
  <c r="P4" i="4" s="1"/>
  <c r="P60" i="1" l="1"/>
  <c r="P18" i="1"/>
  <c r="O18" i="1"/>
  <c r="P67" i="1"/>
  <c r="R67" i="1" s="1"/>
  <c r="P68" i="1"/>
  <c r="P69" i="1"/>
  <c r="P70" i="1"/>
  <c r="R71" i="1"/>
  <c r="R72" i="1"/>
  <c r="O70" i="1"/>
  <c r="O69" i="1"/>
  <c r="O68" i="1"/>
  <c r="P65" i="1"/>
  <c r="Q65" i="1" s="1"/>
  <c r="P63" i="1"/>
  <c r="R63" i="1" s="1"/>
  <c r="P62" i="1"/>
  <c r="R62" i="1" s="1"/>
  <c r="Q62" i="1"/>
  <c r="P64" i="1"/>
  <c r="P61" i="1"/>
  <c r="Q60" i="1"/>
  <c r="R60" i="1"/>
  <c r="O60" i="1"/>
  <c r="P59" i="1"/>
  <c r="Q59" i="1" s="1"/>
  <c r="P58" i="1"/>
  <c r="R58" i="1" s="1"/>
  <c r="P57" i="1"/>
  <c r="P56" i="1"/>
  <c r="R56" i="1" s="1"/>
  <c r="O56" i="1"/>
  <c r="P54" i="1"/>
  <c r="Q54" i="1" s="1"/>
  <c r="P34" i="1"/>
  <c r="O34" i="1"/>
  <c r="O7" i="4"/>
  <c r="P7" i="4" s="1"/>
  <c r="O43" i="4"/>
  <c r="P43" i="4" s="1"/>
  <c r="N17" i="4"/>
  <c r="N36" i="4"/>
  <c r="O24" i="4"/>
  <c r="P24" i="4" s="1"/>
  <c r="N8" i="4"/>
  <c r="N25" i="4"/>
  <c r="N44" i="4"/>
  <c r="N18" i="4"/>
  <c r="N9" i="4"/>
  <c r="O12" i="4"/>
  <c r="P12" i="4" s="1"/>
  <c r="N27" i="4"/>
  <c r="O30" i="4"/>
  <c r="P30" i="4" s="1"/>
  <c r="N46" i="4"/>
  <c r="N16" i="4"/>
  <c r="N35" i="4"/>
  <c r="K21" i="1"/>
  <c r="L21" i="1" s="1"/>
  <c r="K22" i="1"/>
  <c r="L22" i="1" s="1"/>
  <c r="K23" i="1"/>
  <c r="L23" i="1" s="1"/>
  <c r="K24" i="1"/>
  <c r="K25" i="1"/>
  <c r="L25" i="1" s="1"/>
  <c r="K26" i="1"/>
  <c r="K28" i="1"/>
  <c r="L28" i="1" s="1"/>
  <c r="K29" i="1"/>
  <c r="K30" i="1"/>
  <c r="L30" i="1" s="1"/>
  <c r="P30" i="1" s="1"/>
  <c r="Q30" i="1" s="1"/>
  <c r="K31" i="1"/>
  <c r="L31" i="1"/>
  <c r="P31" i="1" s="1"/>
  <c r="K32" i="1"/>
  <c r="L32" i="1" s="1"/>
  <c r="P32" i="1" s="1"/>
  <c r="K39" i="1"/>
  <c r="L39" i="1" s="1"/>
  <c r="K40" i="1"/>
  <c r="L40" i="1" s="1"/>
  <c r="K41" i="1"/>
  <c r="L41" i="1" s="1"/>
  <c r="P41" i="1" s="1"/>
  <c r="K42" i="1"/>
  <c r="L42" i="1"/>
  <c r="P42" i="1" s="1"/>
  <c r="K43" i="1"/>
  <c r="L43" i="1" s="1"/>
  <c r="P43" i="1" s="1"/>
  <c r="R43" i="1" s="1"/>
  <c r="K44" i="1"/>
  <c r="K46" i="1"/>
  <c r="L46" i="1" s="1"/>
  <c r="P46" i="1" s="1"/>
  <c r="K47" i="1"/>
  <c r="L47" i="1" s="1"/>
  <c r="K48" i="1"/>
  <c r="L48" i="1" s="1"/>
  <c r="K49" i="1"/>
  <c r="L49" i="1" s="1"/>
  <c r="K51" i="1"/>
  <c r="L51" i="1" s="1"/>
  <c r="K52" i="1"/>
  <c r="L52" i="1" s="1"/>
  <c r="L11" i="1"/>
  <c r="L24" i="1"/>
  <c r="L26" i="1"/>
  <c r="L29" i="1"/>
  <c r="L44" i="1"/>
  <c r="P4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K12" i="1"/>
  <c r="L12" i="1" s="1"/>
  <c r="K13" i="1"/>
  <c r="L13" i="1" s="1"/>
  <c r="P13" i="1" s="1"/>
  <c r="K14" i="1"/>
  <c r="L14" i="1" s="1"/>
  <c r="K15" i="1"/>
  <c r="L15" i="1" s="1"/>
  <c r="K16" i="1"/>
  <c r="L16" i="1" s="1"/>
  <c r="K17" i="1"/>
  <c r="L17" i="1" s="1"/>
  <c r="K19" i="1"/>
  <c r="L19" i="1" s="1"/>
  <c r="K4" i="1"/>
  <c r="L4" i="1" s="1"/>
  <c r="N4" i="1"/>
  <c r="O4" i="1"/>
  <c r="N52" i="1"/>
  <c r="O52" i="1"/>
  <c r="N51" i="1"/>
  <c r="O51" i="1"/>
  <c r="N49" i="1"/>
  <c r="O49" i="1" s="1"/>
  <c r="N48" i="1"/>
  <c r="O48" i="1" s="1"/>
  <c r="N47" i="1"/>
  <c r="O47" i="1" s="1"/>
  <c r="N46" i="1"/>
  <c r="O46" i="1" s="1"/>
  <c r="O44" i="1"/>
  <c r="O43" i="1"/>
  <c r="O42" i="1"/>
  <c r="O41" i="1"/>
  <c r="N40" i="1"/>
  <c r="O40" i="1" s="1"/>
  <c r="N39" i="1"/>
  <c r="O39" i="1" s="1"/>
  <c r="O32" i="1"/>
  <c r="O31" i="1"/>
  <c r="O30" i="1"/>
  <c r="N29" i="1"/>
  <c r="O29" i="1" s="1"/>
  <c r="N28" i="1"/>
  <c r="N26" i="1"/>
  <c r="O26" i="1" s="1"/>
  <c r="N25" i="1"/>
  <c r="O25" i="1" s="1"/>
  <c r="N24" i="1"/>
  <c r="O24" i="1" s="1"/>
  <c r="N23" i="1"/>
  <c r="O23" i="1" s="1"/>
  <c r="N22" i="1"/>
  <c r="O22" i="1" s="1"/>
  <c r="N21" i="1"/>
  <c r="O21" i="1" s="1"/>
  <c r="O19" i="1"/>
  <c r="O17" i="1"/>
  <c r="O16" i="1"/>
  <c r="O15" i="1"/>
  <c r="O14" i="1"/>
  <c r="O13" i="1"/>
  <c r="N12" i="1"/>
  <c r="O12" i="1" s="1"/>
  <c r="N11" i="1"/>
  <c r="O11" i="1" s="1"/>
  <c r="N10" i="1"/>
  <c r="O10" i="1"/>
  <c r="N9" i="1"/>
  <c r="O9" i="1"/>
  <c r="N8" i="1"/>
  <c r="O8" i="1" s="1"/>
  <c r="N7" i="1"/>
  <c r="O7" i="1" s="1"/>
  <c r="N6" i="1"/>
  <c r="O6" i="1" s="1"/>
  <c r="N5" i="1"/>
  <c r="O5" i="1" s="1"/>
  <c r="M44" i="3"/>
  <c r="N44" i="3"/>
  <c r="K44" i="3"/>
  <c r="M43" i="3"/>
  <c r="N43" i="3"/>
  <c r="P43" i="3"/>
  <c r="K43" i="3"/>
  <c r="M41" i="3"/>
  <c r="N41" i="3"/>
  <c r="K41" i="3"/>
  <c r="M40" i="3"/>
  <c r="K40" i="3"/>
  <c r="M39" i="3"/>
  <c r="N39" i="3"/>
  <c r="K39" i="3"/>
  <c r="M38" i="3"/>
  <c r="N38" i="3"/>
  <c r="P38" i="3"/>
  <c r="K38" i="3"/>
  <c r="M37" i="3"/>
  <c r="K37" i="3"/>
  <c r="K35" i="3"/>
  <c r="M34" i="3"/>
  <c r="K34" i="3"/>
  <c r="M33" i="3"/>
  <c r="N33" i="3"/>
  <c r="P33" i="3"/>
  <c r="K33" i="3"/>
  <c r="M32" i="3"/>
  <c r="N32" i="3"/>
  <c r="K32" i="3"/>
  <c r="M31" i="3"/>
  <c r="K31" i="3"/>
  <c r="M29" i="3"/>
  <c r="K29" i="3"/>
  <c r="N29" i="3"/>
  <c r="M28" i="3"/>
  <c r="K28" i="3"/>
  <c r="M27" i="3"/>
  <c r="K27" i="3"/>
  <c r="M26" i="3"/>
  <c r="K26" i="3"/>
  <c r="M25" i="3"/>
  <c r="K25" i="3"/>
  <c r="M24" i="3"/>
  <c r="K24" i="3"/>
  <c r="M22" i="3"/>
  <c r="N22" i="3" s="1"/>
  <c r="P22" i="3" s="1"/>
  <c r="K22" i="3"/>
  <c r="M21" i="3"/>
  <c r="K21" i="3"/>
  <c r="M20" i="3"/>
  <c r="K20" i="3"/>
  <c r="M19" i="3"/>
  <c r="K19" i="3"/>
  <c r="M18" i="3"/>
  <c r="K18" i="3"/>
  <c r="M17" i="3"/>
  <c r="K17" i="3"/>
  <c r="M15" i="3"/>
  <c r="K15" i="3"/>
  <c r="N15" i="3" s="1"/>
  <c r="M14" i="3"/>
  <c r="K14" i="3"/>
  <c r="N14" i="3" s="1"/>
  <c r="M13" i="3"/>
  <c r="N13" i="3"/>
  <c r="K13" i="3"/>
  <c r="M12" i="3"/>
  <c r="K12" i="3"/>
  <c r="M11" i="3"/>
  <c r="N11" i="3"/>
  <c r="K11" i="3"/>
  <c r="N10" i="3"/>
  <c r="P10" i="3"/>
  <c r="M10" i="3"/>
  <c r="K10" i="3"/>
  <c r="M9" i="3"/>
  <c r="K9" i="3"/>
  <c r="M8" i="3"/>
  <c r="K8" i="3"/>
  <c r="N8" i="3"/>
  <c r="M7" i="3"/>
  <c r="K7" i="3"/>
  <c r="M6" i="3"/>
  <c r="N6" i="3"/>
  <c r="P6" i="3"/>
  <c r="K6" i="3"/>
  <c r="M5" i="3"/>
  <c r="N5" i="3"/>
  <c r="K5" i="3"/>
  <c r="M4" i="3"/>
  <c r="K4" i="3"/>
  <c r="M3" i="3"/>
  <c r="N3" i="3"/>
  <c r="K3" i="3"/>
  <c r="Q28" i="2"/>
  <c r="R28" i="2"/>
  <c r="Q27" i="2"/>
  <c r="R27" i="2"/>
  <c r="R22" i="2"/>
  <c r="R23" i="2"/>
  <c r="R24" i="2"/>
  <c r="R25" i="2"/>
  <c r="R19" i="2"/>
  <c r="R18" i="2"/>
  <c r="R17" i="2"/>
  <c r="R16" i="2"/>
  <c r="R15" i="2"/>
  <c r="R14" i="2"/>
  <c r="R12" i="2"/>
  <c r="R11" i="2"/>
  <c r="R10" i="2"/>
  <c r="R9" i="2"/>
  <c r="R8" i="2"/>
  <c r="R7" i="2"/>
  <c r="R6" i="2"/>
  <c r="R5" i="2"/>
  <c r="R21" i="2"/>
  <c r="S25" i="2"/>
  <c r="Q25" i="2"/>
  <c r="S24" i="2"/>
  <c r="Q24" i="2"/>
  <c r="S23" i="2"/>
  <c r="Q23" i="2"/>
  <c r="Q22" i="2"/>
  <c r="Q21" i="2"/>
  <c r="S19" i="2"/>
  <c r="Q19" i="2"/>
  <c r="S18" i="2"/>
  <c r="Q18" i="2"/>
  <c r="S17" i="2"/>
  <c r="Q17" i="2"/>
  <c r="S16" i="2"/>
  <c r="Q16" i="2"/>
  <c r="Q15" i="2"/>
  <c r="Q14" i="2"/>
  <c r="S6" i="2"/>
  <c r="S7" i="2"/>
  <c r="S8" i="2"/>
  <c r="S9" i="2"/>
  <c r="S10" i="2"/>
  <c r="S11" i="2"/>
  <c r="S12" i="2"/>
  <c r="S5" i="2"/>
  <c r="Q12" i="2"/>
  <c r="Q10" i="2"/>
  <c r="Q9" i="2"/>
  <c r="Q8" i="2"/>
  <c r="Q7" i="2"/>
  <c r="Q6" i="2"/>
  <c r="Q5" i="2"/>
  <c r="N24" i="3"/>
  <c r="P24" i="3"/>
  <c r="N28" i="3"/>
  <c r="P28" i="3"/>
  <c r="N26" i="3"/>
  <c r="P26" i="3"/>
  <c r="N35" i="3"/>
  <c r="O35" i="3"/>
  <c r="N40" i="3"/>
  <c r="P41" i="3"/>
  <c r="O41" i="3"/>
  <c r="N4" i="3"/>
  <c r="N7" i="3"/>
  <c r="P7" i="3"/>
  <c r="N9" i="3"/>
  <c r="N25" i="3"/>
  <c r="N27" i="3"/>
  <c r="O27" i="3"/>
  <c r="N12" i="3"/>
  <c r="N31" i="3"/>
  <c r="O31" i="3"/>
  <c r="N34" i="3"/>
  <c r="P34" i="3"/>
  <c r="N37" i="3"/>
  <c r="P37" i="3"/>
  <c r="P39" i="3"/>
  <c r="O39" i="3"/>
  <c r="O4" i="3"/>
  <c r="P4" i="3"/>
  <c r="P9" i="3"/>
  <c r="O9" i="3"/>
  <c r="P25" i="3"/>
  <c r="O25" i="3"/>
  <c r="O40" i="3"/>
  <c r="P40" i="3"/>
  <c r="O5" i="3"/>
  <c r="P5" i="3"/>
  <c r="O8" i="3"/>
  <c r="P8" i="3"/>
  <c r="P11" i="3"/>
  <c r="O11" i="3"/>
  <c r="O13" i="3"/>
  <c r="P13" i="3"/>
  <c r="O26" i="3"/>
  <c r="P29" i="3"/>
  <c r="O29" i="3"/>
  <c r="O32" i="3"/>
  <c r="P32" i="3"/>
  <c r="P3" i="3"/>
  <c r="O3" i="3"/>
  <c r="O12" i="3"/>
  <c r="P12" i="3"/>
  <c r="P44" i="3"/>
  <c r="O44" i="3"/>
  <c r="O6" i="3"/>
  <c r="O10" i="3"/>
  <c r="O24" i="3"/>
  <c r="O28" i="3"/>
  <c r="O33" i="3"/>
  <c r="O38" i="3"/>
  <c r="O43" i="3"/>
  <c r="P35" i="3"/>
  <c r="O34" i="3"/>
  <c r="O37" i="3"/>
  <c r="P31" i="3"/>
  <c r="P27" i="3"/>
  <c r="O7" i="3"/>
  <c r="P47" i="1" l="1"/>
  <c r="P39" i="1"/>
  <c r="R39" i="1" s="1"/>
  <c r="P48" i="1"/>
  <c r="Q48" i="1" s="1"/>
  <c r="P40" i="1"/>
  <c r="R18" i="1"/>
  <c r="Q18" i="1"/>
  <c r="P24" i="1"/>
  <c r="Q24" i="1" s="1"/>
  <c r="Q67" i="1"/>
  <c r="P51" i="1"/>
  <c r="Q51" i="1" s="1"/>
  <c r="P49" i="1"/>
  <c r="P10" i="1"/>
  <c r="Q10" i="1" s="1"/>
  <c r="P52" i="1"/>
  <c r="R52" i="1" s="1"/>
  <c r="P21" i="1"/>
  <c r="P7" i="1"/>
  <c r="R7" i="1" s="1"/>
  <c r="P6" i="1"/>
  <c r="R6" i="1" s="1"/>
  <c r="P4" i="1"/>
  <c r="R4" i="1" s="1"/>
  <c r="P5" i="1"/>
  <c r="R5" i="1" s="1"/>
  <c r="P8" i="1"/>
  <c r="R8" i="1" s="1"/>
  <c r="Q43" i="1"/>
  <c r="P22" i="1"/>
  <c r="Q22" i="1" s="1"/>
  <c r="P19" i="1"/>
  <c r="P17" i="1"/>
  <c r="R17" i="1" s="1"/>
  <c r="P16" i="1"/>
  <c r="R16" i="1" s="1"/>
  <c r="P9" i="1"/>
  <c r="Q9" i="1" s="1"/>
  <c r="P12" i="1"/>
  <c r="R12" i="1" s="1"/>
  <c r="Q69" i="1"/>
  <c r="R69" i="1"/>
  <c r="R68" i="1"/>
  <c r="Q68" i="1"/>
  <c r="R70" i="1"/>
  <c r="Q70" i="1"/>
  <c r="R65" i="1"/>
  <c r="Q63" i="1"/>
  <c r="Q64" i="1"/>
  <c r="R64" i="1"/>
  <c r="Q58" i="1"/>
  <c r="Q61" i="1"/>
  <c r="R61" i="1"/>
  <c r="R59" i="1"/>
  <c r="Q57" i="1"/>
  <c r="R57" i="1"/>
  <c r="Q56" i="1"/>
  <c r="Q42" i="1"/>
  <c r="R42" i="1"/>
  <c r="R44" i="1"/>
  <c r="Q44" i="1"/>
  <c r="Q39" i="1"/>
  <c r="R41" i="1"/>
  <c r="Q41" i="1"/>
  <c r="R40" i="1"/>
  <c r="Q40" i="1"/>
  <c r="R46" i="1"/>
  <c r="Q46" i="1"/>
  <c r="R49" i="1"/>
  <c r="Q49" i="1"/>
  <c r="Q47" i="1"/>
  <c r="R47" i="1"/>
  <c r="R54" i="1"/>
  <c r="P23" i="1"/>
  <c r="R23" i="1" s="1"/>
  <c r="P25" i="1"/>
  <c r="Q25" i="1" s="1"/>
  <c r="P26" i="1"/>
  <c r="R26" i="1" s="1"/>
  <c r="P29" i="1"/>
  <c r="R29" i="1" s="1"/>
  <c r="R34" i="1"/>
  <c r="Q34" i="1"/>
  <c r="P28" i="1"/>
  <c r="Q28" i="1" s="1"/>
  <c r="O28" i="1"/>
  <c r="P15" i="1"/>
  <c r="Q15" i="1" s="1"/>
  <c r="P14" i="1"/>
  <c r="Q14" i="1" s="1"/>
  <c r="P11" i="1"/>
  <c r="Q11" i="1" s="1"/>
  <c r="R31" i="1"/>
  <c r="Q31" i="1"/>
  <c r="R32" i="1"/>
  <c r="Q32" i="1"/>
  <c r="R30" i="1"/>
  <c r="R24" i="1"/>
  <c r="Q21" i="1"/>
  <c r="R21" i="1"/>
  <c r="Q13" i="1"/>
  <c r="R13" i="1"/>
  <c r="O14" i="3"/>
  <c r="P14" i="3"/>
  <c r="P15" i="3"/>
  <c r="O15" i="3"/>
  <c r="N17" i="3"/>
  <c r="N19" i="3"/>
  <c r="N21" i="3"/>
  <c r="P21" i="3" s="1"/>
  <c r="N20" i="3"/>
  <c r="P20" i="3" s="1"/>
  <c r="O19" i="3"/>
  <c r="P19" i="3"/>
  <c r="N18" i="3"/>
  <c r="O18" i="3" s="1"/>
  <c r="O20" i="3"/>
  <c r="O22" i="3"/>
  <c r="P17" i="3"/>
  <c r="O17" i="3"/>
  <c r="R22" i="1" l="1"/>
  <c r="R48" i="1"/>
  <c r="R51" i="1"/>
  <c r="Q19" i="1"/>
  <c r="R19" i="1"/>
  <c r="Q7" i="1"/>
  <c r="Q17" i="1"/>
  <c r="Q4" i="1"/>
  <c r="Q5" i="1"/>
  <c r="R10" i="1"/>
  <c r="Q16" i="1"/>
  <c r="Q8" i="1"/>
  <c r="Q6" i="1"/>
  <c r="Q52" i="1"/>
  <c r="R9" i="1"/>
  <c r="R25" i="1"/>
  <c r="Q12" i="1"/>
  <c r="R14" i="1"/>
  <c r="Q29" i="1"/>
  <c r="Q23" i="1"/>
  <c r="Q26" i="1"/>
  <c r="R28" i="1"/>
  <c r="R15" i="1"/>
  <c r="R11" i="1"/>
  <c r="O21" i="3"/>
  <c r="P18" i="3"/>
</calcChain>
</file>

<file path=xl/sharedStrings.xml><?xml version="1.0" encoding="utf-8"?>
<sst xmlns="http://schemas.openxmlformats.org/spreadsheetml/2006/main" count="540" uniqueCount="39">
  <si>
    <t>Descrição</t>
  </si>
  <si>
    <t>Unidade</t>
  </si>
  <si>
    <t>Embalagem</t>
  </si>
  <si>
    <t>Fita</t>
  </si>
  <si>
    <t>Cabeceira Ripa 45x20</t>
  </si>
  <si>
    <t>Ripado Madeira 45x11</t>
  </si>
  <si>
    <t>Média de preço</t>
  </si>
  <si>
    <t>Produto</t>
  </si>
  <si>
    <t>Quantidade</t>
  </si>
  <si>
    <t>Preço</t>
  </si>
  <si>
    <t>Média(R$)</t>
  </si>
  <si>
    <t>Arandela</t>
  </si>
  <si>
    <t>lucro</t>
  </si>
  <si>
    <t>MO</t>
  </si>
  <si>
    <t>Etiqueta</t>
  </si>
  <si>
    <t>Gasto Total</t>
  </si>
  <si>
    <t>Vlr Venda Bruto</t>
  </si>
  <si>
    <t>Roas Minimo</t>
  </si>
  <si>
    <t>Outros</t>
  </si>
  <si>
    <t>Nfe</t>
  </si>
  <si>
    <t>Vlr Venda Liquido</t>
  </si>
  <si>
    <t>Lucro -&gt; %</t>
  </si>
  <si>
    <t>Lucro -&gt; R$</t>
  </si>
  <si>
    <t>Vlr. Unitario</t>
  </si>
  <si>
    <t>Arandela + Led</t>
  </si>
  <si>
    <t>Almofada 45x45</t>
  </si>
  <si>
    <t>Vlr. Sugerido(-5%)</t>
  </si>
  <si>
    <t>Varal Retratil</t>
  </si>
  <si>
    <t>Cabeceira Nuvem 45x20</t>
  </si>
  <si>
    <t>Vlr Final Uni</t>
  </si>
  <si>
    <t>Precificação Shopee</t>
  </si>
  <si>
    <t>TT Insumos</t>
  </si>
  <si>
    <t>Precificação Shein</t>
  </si>
  <si>
    <t>Nicho de Banheiro</t>
  </si>
  <si>
    <t>Nicho Banheiro</t>
  </si>
  <si>
    <t>Fita Dupla Face 9cm</t>
  </si>
  <si>
    <t>Cabeceira de cama + ripado</t>
  </si>
  <si>
    <t>Cabeceira + Ripado</t>
  </si>
  <si>
    <t>Cabeceira Nuvem 45x21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</si>
</sst>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&quot;R$&quot;\ #,##0.00"/>
    <numFmt numFmtId="165" formatCode="_-[$R$-416]\ * #,##0.00_-;\-[$R$-416]\ * #,##0.00_-;_-[$R$-416]\ * &quot;-&quot;??_-;_-@_-"/>
    <numFmt numFmtId="166" formatCode="_-&quot;R$&quot;\ * #,##0.000_-;\-&quot;R$&quot;\ * #,##0.000_-;_-&quot;R$&quot;\ * &quot;-&quot;???_-;_-@_-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28"/>
      <color theme="0"/>
      <name val="Arial Black"/>
      <family val="2"/>
    </font>
    <font>
      <sz val="11"/>
      <color theme="1"/>
      <name val="Aptos Narrow"/>
      <family val="2"/>
      <scheme val="minor"/>
    </font>
    <font>
      <b/>
      <sz val="36"/>
      <color theme="0"/>
      <name val="Arial Black"/>
      <family val="2"/>
    </font>
    <font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E4D2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0" fillId="0" borderId="2" xfId="0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0" borderId="1" xfId="0" applyBorder="1"/>
    <xf numFmtId="164" fontId="0" fillId="5" borderId="1" xfId="0" applyNumberFormat="1" applyFill="1" applyBorder="1"/>
    <xf numFmtId="164" fontId="5" fillId="0" borderId="1" xfId="0" applyNumberFormat="1" applyFont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/>
    </xf>
    <xf numFmtId="165" fontId="7" fillId="8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0" fillId="5" borderId="0" xfId="0" applyFill="1"/>
    <xf numFmtId="164" fontId="0" fillId="9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5" fontId="0" fillId="8" borderId="1" xfId="0" applyNumberForma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/>
    </xf>
    <xf numFmtId="165" fontId="9" fillId="8" borderId="1" xfId="0" applyNumberFormat="1" applyFon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right" vertical="center"/>
    </xf>
    <xf numFmtId="44" fontId="0" fillId="0" borderId="1" xfId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 vertical="center"/>
    </xf>
    <xf numFmtId="165" fontId="0" fillId="8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E4D2D"/>
      <color rgb="FFFFFF99"/>
      <color rgb="FFFF2F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543AF-4AEB-4256-8D44-4F64714F0890}">
  <sheetPr codeName="Planilha1"/>
  <dimension ref="B2:X96"/>
  <sheetViews>
    <sheetView tabSelected="1" topLeftCell="J1" zoomScale="124" zoomScaleNormal="115" workbookViewId="0">
      <selection activeCell="I5" sqref="I5"/>
    </sheetView>
  </sheetViews>
  <sheetFormatPr defaultRowHeight="15" x14ac:dyDescent="0.25"/>
  <cols>
    <col min="2" max="2" width="22.140625" bestFit="1" customWidth="1"/>
    <col min="3" max="3" width="8.42578125" bestFit="1" customWidth="1"/>
    <col min="4" max="4" width="11.5703125" bestFit="1" customWidth="1"/>
    <col min="5" max="5" width="11.42578125" bestFit="1" customWidth="1"/>
    <col min="6" max="6" width="8.140625" bestFit="1" customWidth="1"/>
    <col min="7" max="7" width="8.5703125" bestFit="1" customWidth="1"/>
    <col min="8" max="8" width="7.28515625" bestFit="1" customWidth="1"/>
    <col min="9" max="9" width="8.5703125" bestFit="1" customWidth="1"/>
    <col min="10" max="10" width="7.28515625" bestFit="1" customWidth="1"/>
    <col min="11" max="11" width="11.140625" bestFit="1" customWidth="1"/>
    <col min="12" max="12" width="11" bestFit="1" customWidth="1"/>
    <col min="13" max="13" width="16.140625" bestFit="1" customWidth="1"/>
    <col min="14" max="14" width="16.5703125" bestFit="1" customWidth="1"/>
    <col min="15" max="15" width="11.7109375" bestFit="1" customWidth="1"/>
    <col min="16" max="16" width="10.5703125" bestFit="1" customWidth="1"/>
    <col min="17" max="17" width="10" bestFit="1" customWidth="1"/>
    <col min="18" max="18" width="12.5703125" bestFit="1" customWidth="1"/>
    <col min="19" max="19" width="11.85546875" bestFit="1" customWidth="1"/>
  </cols>
  <sheetData>
    <row r="2" spans="2:23" ht="59.45" customHeight="1" x14ac:dyDescent="0.25">
      <c r="B2" s="36" t="s">
        <v>30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2:23" x14ac:dyDescent="0.25">
      <c r="B3" s="9" t="s">
        <v>0</v>
      </c>
      <c r="C3" s="9" t="s">
        <v>1</v>
      </c>
      <c r="D3" s="9" t="s">
        <v>23</v>
      </c>
      <c r="E3" s="9" t="s">
        <v>2</v>
      </c>
      <c r="F3" s="9" t="s">
        <v>14</v>
      </c>
      <c r="G3" s="9" t="s">
        <v>3</v>
      </c>
      <c r="H3" s="9" t="s">
        <v>13</v>
      </c>
      <c r="I3" s="9" t="s">
        <v>19</v>
      </c>
      <c r="J3" s="9" t="s">
        <v>18</v>
      </c>
      <c r="K3" s="9" t="s">
        <v>31</v>
      </c>
      <c r="L3" s="9" t="s">
        <v>15</v>
      </c>
      <c r="M3" s="10" t="s">
        <v>16</v>
      </c>
      <c r="N3" s="9" t="s">
        <v>20</v>
      </c>
      <c r="O3" s="9" t="s">
        <v>29</v>
      </c>
      <c r="P3" s="9" t="s">
        <v>22</v>
      </c>
      <c r="Q3" s="11" t="s">
        <v>21</v>
      </c>
      <c r="R3" s="9" t="s">
        <v>17</v>
      </c>
    </row>
    <row r="4" spans="2:23" x14ac:dyDescent="0.25">
      <c r="B4" s="12" t="s">
        <v>5</v>
      </c>
      <c r="C4" s="12">
        <v>1</v>
      </c>
      <c r="D4" s="13">
        <v>0.65</v>
      </c>
      <c r="E4" s="13">
        <v>0.32</v>
      </c>
      <c r="F4" s="13">
        <v>0.05</v>
      </c>
      <c r="G4" s="31">
        <v>1.2</v>
      </c>
      <c r="H4" s="32">
        <v>0</v>
      </c>
      <c r="I4" s="32">
        <v>0</v>
      </c>
      <c r="J4" s="13">
        <v>0</v>
      </c>
      <c r="K4" s="25">
        <f>E4+F4+G4+H4+I4+J4</f>
        <v>1.5699999999999998</v>
      </c>
      <c r="L4" s="13">
        <f>(D4*C4)+K4</f>
        <v>2.2199999999999998</v>
      </c>
      <c r="M4" s="20">
        <v>10.99</v>
      </c>
      <c r="N4" s="13">
        <f t="shared" ref="N4:N12" si="0">(M4-4)*0.8</f>
        <v>5.5920000000000005</v>
      </c>
      <c r="O4" s="24">
        <f t="shared" ref="O4:O19" si="1">(N4-J4-I4-H4-G4-F4-E4)/C4</f>
        <v>4.0220000000000002</v>
      </c>
      <c r="P4" s="15">
        <f t="shared" ref="P4:P19" si="2">N4-L4</f>
        <v>3.3720000000000008</v>
      </c>
      <c r="Q4" s="16">
        <f t="shared" ref="Q4:Q19" si="3">(P4/M4)</f>
        <v>0.3068243858052776</v>
      </c>
      <c r="R4" s="14">
        <f t="shared" ref="R4:R17" si="4">M4/P4</f>
        <v>3.2591933570581251</v>
      </c>
    </row>
    <row r="5" spans="2:23" x14ac:dyDescent="0.25">
      <c r="B5" s="12" t="s">
        <v>5</v>
      </c>
      <c r="C5" s="12">
        <v>5</v>
      </c>
      <c r="D5" s="13">
        <v>0.65</v>
      </c>
      <c r="E5" s="13">
        <v>0.32</v>
      </c>
      <c r="F5" s="13">
        <v>0.05</v>
      </c>
      <c r="G5" s="13">
        <v>1.2</v>
      </c>
      <c r="H5" s="32">
        <v>0</v>
      </c>
      <c r="I5" s="32">
        <v>0</v>
      </c>
      <c r="J5" s="32">
        <v>0</v>
      </c>
      <c r="K5" s="25">
        <f t="shared" ref="K5:K52" si="5">E5+F5+G5+H5+I5+J5</f>
        <v>1.5699999999999998</v>
      </c>
      <c r="L5" s="13">
        <f t="shared" ref="L5:L52" si="6">(D5*C5)+K5</f>
        <v>4.82</v>
      </c>
      <c r="M5" s="20">
        <v>16</v>
      </c>
      <c r="N5" s="13">
        <f t="shared" si="0"/>
        <v>9.6000000000000014</v>
      </c>
      <c r="O5" s="24">
        <f t="shared" si="1"/>
        <v>1.6060000000000003</v>
      </c>
      <c r="P5" s="15">
        <f t="shared" si="2"/>
        <v>4.7800000000000011</v>
      </c>
      <c r="Q5" s="16">
        <f t="shared" si="3"/>
        <v>0.29875000000000007</v>
      </c>
      <c r="R5" s="14">
        <f t="shared" si="4"/>
        <v>3.3472803347280329</v>
      </c>
    </row>
    <row r="6" spans="2:23" x14ac:dyDescent="0.25">
      <c r="B6" s="12" t="s">
        <v>5</v>
      </c>
      <c r="C6" s="12">
        <v>10</v>
      </c>
      <c r="D6" s="13">
        <v>0.65</v>
      </c>
      <c r="E6" s="13">
        <v>0.32</v>
      </c>
      <c r="F6" s="13">
        <v>0.05</v>
      </c>
      <c r="G6" s="13">
        <v>1.2</v>
      </c>
      <c r="H6" s="32">
        <v>0</v>
      </c>
      <c r="I6" s="32">
        <v>0</v>
      </c>
      <c r="J6" s="13">
        <v>0</v>
      </c>
      <c r="K6" s="25">
        <f t="shared" si="5"/>
        <v>1.5699999999999998</v>
      </c>
      <c r="L6" s="13">
        <f t="shared" si="6"/>
        <v>8.07</v>
      </c>
      <c r="M6" s="20">
        <v>23.99</v>
      </c>
      <c r="N6" s="13">
        <f t="shared" si="0"/>
        <v>15.991999999999999</v>
      </c>
      <c r="O6" s="24">
        <f t="shared" si="1"/>
        <v>1.4421999999999999</v>
      </c>
      <c r="P6" s="15">
        <f t="shared" si="2"/>
        <v>7.9219999999999988</v>
      </c>
      <c r="Q6" s="16">
        <f t="shared" si="3"/>
        <v>0.33022092538557729</v>
      </c>
      <c r="R6" s="14">
        <f t="shared" si="4"/>
        <v>3.0282756879575867</v>
      </c>
    </row>
    <row r="7" spans="2:23" x14ac:dyDescent="0.25">
      <c r="B7" s="12" t="s">
        <v>5</v>
      </c>
      <c r="C7" s="12">
        <v>15</v>
      </c>
      <c r="D7" s="13">
        <v>0.65</v>
      </c>
      <c r="E7" s="13">
        <v>0.32</v>
      </c>
      <c r="F7" s="13">
        <v>0.05</v>
      </c>
      <c r="G7" s="13">
        <v>1.2</v>
      </c>
      <c r="H7" s="32">
        <v>0</v>
      </c>
      <c r="I7" s="32">
        <v>0</v>
      </c>
      <c r="J7" s="13">
        <v>0</v>
      </c>
      <c r="K7" s="25">
        <f t="shared" si="5"/>
        <v>1.5699999999999998</v>
      </c>
      <c r="L7" s="13">
        <f t="shared" si="6"/>
        <v>11.32</v>
      </c>
      <c r="M7" s="20">
        <v>29.25</v>
      </c>
      <c r="N7" s="13">
        <f t="shared" si="0"/>
        <v>20.200000000000003</v>
      </c>
      <c r="O7" s="24">
        <f t="shared" si="1"/>
        <v>1.2420000000000002</v>
      </c>
      <c r="P7" s="15">
        <f t="shared" si="2"/>
        <v>8.8800000000000026</v>
      </c>
      <c r="Q7" s="16">
        <f t="shared" si="3"/>
        <v>0.30358974358974367</v>
      </c>
      <c r="R7" s="14">
        <f t="shared" si="4"/>
        <v>3.293918918918918</v>
      </c>
    </row>
    <row r="8" spans="2:23" x14ac:dyDescent="0.25">
      <c r="B8" s="12" t="s">
        <v>5</v>
      </c>
      <c r="C8" s="12">
        <v>20</v>
      </c>
      <c r="D8" s="13">
        <v>0.65</v>
      </c>
      <c r="E8" s="13">
        <v>0.32</v>
      </c>
      <c r="F8" s="13">
        <v>0.05</v>
      </c>
      <c r="G8" s="13">
        <v>1.2</v>
      </c>
      <c r="H8" s="32">
        <v>0</v>
      </c>
      <c r="I8" s="32">
        <v>0</v>
      </c>
      <c r="J8" s="13">
        <v>0</v>
      </c>
      <c r="K8" s="25">
        <f t="shared" si="5"/>
        <v>1.5699999999999998</v>
      </c>
      <c r="L8" s="13">
        <f t="shared" si="6"/>
        <v>14.57</v>
      </c>
      <c r="M8" s="20">
        <v>35.200000000000003</v>
      </c>
      <c r="N8" s="13">
        <f t="shared" si="0"/>
        <v>24.960000000000004</v>
      </c>
      <c r="O8" s="24">
        <f t="shared" si="1"/>
        <v>1.1695000000000002</v>
      </c>
      <c r="P8" s="15">
        <f t="shared" si="2"/>
        <v>10.390000000000004</v>
      </c>
      <c r="Q8" s="16">
        <f t="shared" si="3"/>
        <v>0.29517045454545465</v>
      </c>
      <c r="R8" s="14">
        <f t="shared" si="4"/>
        <v>3.3878729547641955</v>
      </c>
    </row>
    <row r="9" spans="2:23" x14ac:dyDescent="0.25">
      <c r="B9" s="12" t="s">
        <v>5</v>
      </c>
      <c r="C9" s="12">
        <v>25</v>
      </c>
      <c r="D9" s="13">
        <v>0.65</v>
      </c>
      <c r="E9" s="13">
        <v>0.32</v>
      </c>
      <c r="F9" s="13">
        <v>0.05</v>
      </c>
      <c r="G9" s="13">
        <v>1.2</v>
      </c>
      <c r="H9" s="32">
        <v>0</v>
      </c>
      <c r="I9" s="32">
        <v>0</v>
      </c>
      <c r="J9" s="13">
        <v>0</v>
      </c>
      <c r="K9" s="25">
        <f t="shared" si="5"/>
        <v>1.5699999999999998</v>
      </c>
      <c r="L9" s="13">
        <f t="shared" si="6"/>
        <v>17.82</v>
      </c>
      <c r="M9" s="20">
        <v>43.99</v>
      </c>
      <c r="N9" s="13">
        <f t="shared" si="0"/>
        <v>31.992000000000004</v>
      </c>
      <c r="O9" s="24">
        <f t="shared" si="1"/>
        <v>1.2168800000000002</v>
      </c>
      <c r="P9" s="15">
        <f t="shared" si="2"/>
        <v>14.172000000000004</v>
      </c>
      <c r="Q9" s="16">
        <f t="shared" si="3"/>
        <v>0.32216412821095713</v>
      </c>
      <c r="R9" s="14">
        <f t="shared" si="4"/>
        <v>3.1040079029071399</v>
      </c>
    </row>
    <row r="10" spans="2:23" x14ac:dyDescent="0.25">
      <c r="B10" s="12" t="s">
        <v>5</v>
      </c>
      <c r="C10" s="12">
        <v>30</v>
      </c>
      <c r="D10" s="13">
        <v>0.65</v>
      </c>
      <c r="E10" s="13">
        <v>0.32</v>
      </c>
      <c r="F10" s="13">
        <v>0.05</v>
      </c>
      <c r="G10" s="13">
        <v>1.2</v>
      </c>
      <c r="H10" s="32">
        <v>0</v>
      </c>
      <c r="I10" s="32">
        <v>0</v>
      </c>
      <c r="J10" s="13">
        <v>0</v>
      </c>
      <c r="K10" s="25">
        <f t="shared" si="5"/>
        <v>1.5699999999999998</v>
      </c>
      <c r="L10" s="13">
        <f t="shared" si="6"/>
        <v>21.07</v>
      </c>
      <c r="M10" s="20">
        <v>48.99</v>
      </c>
      <c r="N10" s="13">
        <f t="shared" si="0"/>
        <v>35.992000000000004</v>
      </c>
      <c r="O10" s="24">
        <f t="shared" si="1"/>
        <v>1.1474000000000002</v>
      </c>
      <c r="P10" s="15">
        <f t="shared" si="2"/>
        <v>14.922000000000004</v>
      </c>
      <c r="Q10" s="16">
        <f t="shared" si="3"/>
        <v>0.30459277403551754</v>
      </c>
      <c r="R10" s="14">
        <f t="shared" si="4"/>
        <v>3.2830719742661834</v>
      </c>
    </row>
    <row r="11" spans="2:23" x14ac:dyDescent="0.25">
      <c r="B11" s="12" t="s">
        <v>5</v>
      </c>
      <c r="C11" s="12">
        <v>50</v>
      </c>
      <c r="D11" s="13">
        <v>0.65</v>
      </c>
      <c r="E11" s="13">
        <v>0.32</v>
      </c>
      <c r="F11" s="13">
        <v>0.05</v>
      </c>
      <c r="G11" s="13">
        <v>1.2</v>
      </c>
      <c r="H11" s="32">
        <v>0</v>
      </c>
      <c r="I11" s="32">
        <v>0</v>
      </c>
      <c r="J11" s="13">
        <v>0</v>
      </c>
      <c r="K11" s="25">
        <f t="shared" si="5"/>
        <v>1.5699999999999998</v>
      </c>
      <c r="L11" s="13">
        <f t="shared" si="6"/>
        <v>34.07</v>
      </c>
      <c r="M11" s="20">
        <v>64.989999999999995</v>
      </c>
      <c r="N11" s="13">
        <f t="shared" si="0"/>
        <v>48.792000000000002</v>
      </c>
      <c r="O11" s="24">
        <f t="shared" si="1"/>
        <v>0.94444000000000006</v>
      </c>
      <c r="P11" s="15">
        <f t="shared" si="2"/>
        <v>14.722000000000001</v>
      </c>
      <c r="Q11" s="16">
        <f t="shared" si="3"/>
        <v>0.22652715802431148</v>
      </c>
      <c r="R11" s="14">
        <f t="shared" si="4"/>
        <v>4.4144817280260824</v>
      </c>
    </row>
    <row r="12" spans="2:23" x14ac:dyDescent="0.25">
      <c r="B12" s="12" t="s">
        <v>5</v>
      </c>
      <c r="C12" s="12">
        <v>60</v>
      </c>
      <c r="D12" s="13">
        <v>0.65</v>
      </c>
      <c r="E12" s="13">
        <v>0.52</v>
      </c>
      <c r="F12" s="13">
        <v>0.05</v>
      </c>
      <c r="G12" s="13">
        <v>1.2</v>
      </c>
      <c r="H12" s="32">
        <v>0</v>
      </c>
      <c r="I12" s="32">
        <v>0</v>
      </c>
      <c r="J12" s="13">
        <v>0</v>
      </c>
      <c r="K12" s="25">
        <f t="shared" si="5"/>
        <v>1.77</v>
      </c>
      <c r="L12" s="13">
        <f t="shared" si="6"/>
        <v>40.770000000000003</v>
      </c>
      <c r="M12" s="20">
        <v>84.99</v>
      </c>
      <c r="N12" s="13">
        <f t="shared" si="0"/>
        <v>64.792000000000002</v>
      </c>
      <c r="O12" s="24">
        <f t="shared" si="1"/>
        <v>1.0503666666666667</v>
      </c>
      <c r="P12" s="15">
        <f t="shared" si="2"/>
        <v>24.021999999999998</v>
      </c>
      <c r="Q12" s="16">
        <f t="shared" si="3"/>
        <v>0.28264501706083067</v>
      </c>
      <c r="R12" s="14">
        <f t="shared" si="4"/>
        <v>3.538006827075181</v>
      </c>
    </row>
    <row r="13" spans="2:23" x14ac:dyDescent="0.25">
      <c r="B13" s="12" t="s">
        <v>5</v>
      </c>
      <c r="C13" s="12">
        <v>75</v>
      </c>
      <c r="D13" s="13">
        <v>0.65</v>
      </c>
      <c r="E13" s="13">
        <v>0.74</v>
      </c>
      <c r="F13" s="13">
        <v>0.05</v>
      </c>
      <c r="G13" s="13">
        <v>1.2</v>
      </c>
      <c r="H13" s="32">
        <v>0</v>
      </c>
      <c r="I13" s="32">
        <v>0</v>
      </c>
      <c r="J13" s="13">
        <v>0</v>
      </c>
      <c r="K13" s="25">
        <f t="shared" si="5"/>
        <v>1.99</v>
      </c>
      <c r="L13" s="13">
        <f t="shared" si="6"/>
        <v>50.74</v>
      </c>
      <c r="M13" s="20">
        <v>102.99</v>
      </c>
      <c r="N13" s="13">
        <f>(M13-16)*0.86</f>
        <v>74.811399999999992</v>
      </c>
      <c r="O13" s="24">
        <f t="shared" si="1"/>
        <v>0.97095199999999993</v>
      </c>
      <c r="P13" s="15">
        <f t="shared" si="2"/>
        <v>24.07139999999999</v>
      </c>
      <c r="Q13" s="16">
        <f t="shared" si="3"/>
        <v>0.23372560442761425</v>
      </c>
      <c r="R13" s="14">
        <f t="shared" si="4"/>
        <v>4.2785213988384569</v>
      </c>
      <c r="V13" s="5"/>
    </row>
    <row r="14" spans="2:23" x14ac:dyDescent="0.25">
      <c r="B14" s="12" t="s">
        <v>5</v>
      </c>
      <c r="C14" s="12">
        <v>100</v>
      </c>
      <c r="D14" s="13">
        <v>0.65</v>
      </c>
      <c r="E14" s="13">
        <v>0.74</v>
      </c>
      <c r="F14" s="13">
        <v>0.05</v>
      </c>
      <c r="G14" s="13">
        <v>1.2</v>
      </c>
      <c r="H14" s="32">
        <v>0</v>
      </c>
      <c r="I14" s="32">
        <v>0</v>
      </c>
      <c r="J14" s="13">
        <v>0</v>
      </c>
      <c r="K14" s="25">
        <f t="shared" si="5"/>
        <v>1.99</v>
      </c>
      <c r="L14" s="13">
        <f t="shared" si="6"/>
        <v>66.989999999999995</v>
      </c>
      <c r="M14" s="20">
        <v>131.99</v>
      </c>
      <c r="N14" s="13">
        <f t="shared" ref="N14:N15" si="7">(M14-20)*0.86</f>
        <v>96.311400000000006</v>
      </c>
      <c r="O14" s="24">
        <f t="shared" si="1"/>
        <v>0.94321400000000011</v>
      </c>
      <c r="P14" s="15">
        <f t="shared" si="2"/>
        <v>29.321400000000011</v>
      </c>
      <c r="Q14" s="16">
        <f t="shared" si="3"/>
        <v>0.22214864762482014</v>
      </c>
      <c r="R14" s="14">
        <f t="shared" si="4"/>
        <v>4.5014903790405629</v>
      </c>
      <c r="S14" s="5"/>
      <c r="W14" s="5"/>
    </row>
    <row r="15" spans="2:23" x14ac:dyDescent="0.25">
      <c r="B15" s="12" t="s">
        <v>5</v>
      </c>
      <c r="C15" s="12">
        <v>125</v>
      </c>
      <c r="D15" s="13">
        <v>0.65</v>
      </c>
      <c r="E15" s="13">
        <v>0.82</v>
      </c>
      <c r="F15" s="13">
        <v>0.05</v>
      </c>
      <c r="G15" s="13">
        <v>1.2</v>
      </c>
      <c r="H15" s="32">
        <v>0</v>
      </c>
      <c r="I15" s="32">
        <v>0</v>
      </c>
      <c r="J15" s="13">
        <v>0</v>
      </c>
      <c r="K15" s="25">
        <f t="shared" si="5"/>
        <v>2.0699999999999998</v>
      </c>
      <c r="L15" s="13">
        <f t="shared" si="6"/>
        <v>83.32</v>
      </c>
      <c r="M15" s="20">
        <v>158.99</v>
      </c>
      <c r="N15" s="13">
        <f t="shared" si="7"/>
        <v>119.5314</v>
      </c>
      <c r="O15" s="24">
        <f t="shared" si="1"/>
        <v>0.93969120000000006</v>
      </c>
      <c r="P15" s="15">
        <f t="shared" si="2"/>
        <v>36.211400000000012</v>
      </c>
      <c r="Q15" s="16">
        <f t="shared" si="3"/>
        <v>0.22775897855211025</v>
      </c>
      <c r="R15" s="14">
        <f t="shared" si="4"/>
        <v>4.3906062731625939</v>
      </c>
    </row>
    <row r="16" spans="2:23" x14ac:dyDescent="0.25">
      <c r="B16" s="12" t="s">
        <v>5</v>
      </c>
      <c r="C16" s="12">
        <v>150</v>
      </c>
      <c r="D16" s="13">
        <v>0.65</v>
      </c>
      <c r="E16" s="13">
        <v>1.38</v>
      </c>
      <c r="F16" s="13">
        <v>0.05</v>
      </c>
      <c r="G16" s="13">
        <v>1.2</v>
      </c>
      <c r="H16" s="32">
        <v>0</v>
      </c>
      <c r="I16" s="32">
        <v>0</v>
      </c>
      <c r="J16" s="13">
        <v>0</v>
      </c>
      <c r="K16" s="25">
        <f t="shared" si="5"/>
        <v>2.63</v>
      </c>
      <c r="L16" s="13">
        <f t="shared" si="6"/>
        <v>100.13</v>
      </c>
      <c r="M16" s="26">
        <v>184</v>
      </c>
      <c r="N16" s="13">
        <f>(M16-20)*0.86</f>
        <v>141.04</v>
      </c>
      <c r="O16" s="24">
        <f t="shared" si="1"/>
        <v>0.92273333333333329</v>
      </c>
      <c r="P16" s="15">
        <f t="shared" si="2"/>
        <v>40.909999999999997</v>
      </c>
      <c r="Q16" s="16">
        <f t="shared" si="3"/>
        <v>0.2223369565217391</v>
      </c>
      <c r="R16" s="14">
        <f t="shared" si="4"/>
        <v>4.49767782938157</v>
      </c>
    </row>
    <row r="17" spans="2:22" x14ac:dyDescent="0.25">
      <c r="B17" s="12" t="s">
        <v>5</v>
      </c>
      <c r="C17" s="12">
        <v>175</v>
      </c>
      <c r="D17" s="13">
        <v>0.65</v>
      </c>
      <c r="E17" s="13">
        <v>1.38</v>
      </c>
      <c r="F17" s="13">
        <v>0.05</v>
      </c>
      <c r="G17" s="13">
        <v>1.2</v>
      </c>
      <c r="H17" s="32">
        <v>0</v>
      </c>
      <c r="I17" s="32">
        <v>0</v>
      </c>
      <c r="J17" s="13">
        <v>0</v>
      </c>
      <c r="K17" s="25">
        <f t="shared" si="5"/>
        <v>2.63</v>
      </c>
      <c r="L17" s="13">
        <f t="shared" si="6"/>
        <v>116.38</v>
      </c>
      <c r="M17" s="20">
        <v>209.99</v>
      </c>
      <c r="N17" s="13">
        <f t="shared" ref="N17" si="8">(M17-26)*0.86</f>
        <v>158.23140000000001</v>
      </c>
      <c r="O17" s="24">
        <f t="shared" si="1"/>
        <v>0.88915085714285724</v>
      </c>
      <c r="P17" s="15">
        <f t="shared" si="2"/>
        <v>41.851400000000012</v>
      </c>
      <c r="Q17" s="16">
        <f t="shared" si="3"/>
        <v>0.19930187151769138</v>
      </c>
      <c r="R17" s="14">
        <f t="shared" si="4"/>
        <v>5.0175143483849993</v>
      </c>
    </row>
    <row r="18" spans="2:22" x14ac:dyDescent="0.25">
      <c r="B18" s="12" t="s">
        <v>5</v>
      </c>
      <c r="C18" s="12">
        <v>200</v>
      </c>
      <c r="D18" s="13">
        <v>0.65</v>
      </c>
      <c r="E18" s="13">
        <v>1.38</v>
      </c>
      <c r="F18" s="13">
        <v>0.05</v>
      </c>
      <c r="G18" s="13">
        <v>1.2</v>
      </c>
      <c r="H18" s="32">
        <v>0</v>
      </c>
      <c r="I18" s="32">
        <v>0</v>
      </c>
      <c r="J18" s="13">
        <v>0</v>
      </c>
      <c r="K18" s="25">
        <f t="shared" ref="K18" si="9">E18+F18+G18+H18+I18+J18</f>
        <v>2.63</v>
      </c>
      <c r="L18" s="13">
        <f t="shared" ref="L18" si="10">(D18*C18)+K18</f>
        <v>132.63</v>
      </c>
      <c r="M18" s="20">
        <v>229.99</v>
      </c>
      <c r="N18" s="13">
        <f>(M18-26)*0.86</f>
        <v>175.4314</v>
      </c>
      <c r="O18" s="24">
        <f t="shared" ref="O18" si="11">(N18-J18-I18-H18-G18-F18-E18)/C18</f>
        <v>0.86400699999999997</v>
      </c>
      <c r="P18" s="15">
        <f t="shared" ref="P18" si="12">N18-L18</f>
        <v>42.801400000000001</v>
      </c>
      <c r="Q18" s="16">
        <f t="shared" ref="Q18" si="13">(P18/M18)</f>
        <v>0.18610113483194921</v>
      </c>
      <c r="R18" s="14">
        <f t="shared" ref="R18:R19" si="14">M18/P18</f>
        <v>5.3734223646890058</v>
      </c>
    </row>
    <row r="19" spans="2:22" x14ac:dyDescent="0.25">
      <c r="B19" s="12" t="s">
        <v>5</v>
      </c>
      <c r="C19" s="12">
        <v>250</v>
      </c>
      <c r="D19" s="13">
        <v>0.65</v>
      </c>
      <c r="E19" s="13">
        <v>1.38</v>
      </c>
      <c r="F19" s="13">
        <v>0.05</v>
      </c>
      <c r="G19" s="13">
        <v>1.2</v>
      </c>
      <c r="H19" s="32">
        <v>0</v>
      </c>
      <c r="I19" s="32">
        <v>0</v>
      </c>
      <c r="J19" s="13">
        <v>0</v>
      </c>
      <c r="K19" s="25">
        <f t="shared" si="5"/>
        <v>2.63</v>
      </c>
      <c r="L19" s="13">
        <f t="shared" si="6"/>
        <v>165.13</v>
      </c>
      <c r="M19" s="20">
        <v>284.99</v>
      </c>
      <c r="N19" s="13">
        <f>(M19-26)*0.86</f>
        <v>222.73140000000001</v>
      </c>
      <c r="O19" s="24">
        <f t="shared" si="1"/>
        <v>0.88040560000000001</v>
      </c>
      <c r="P19" s="15">
        <f t="shared" si="2"/>
        <v>57.601400000000012</v>
      </c>
      <c r="Q19" s="16">
        <f t="shared" si="3"/>
        <v>0.20211726727253593</v>
      </c>
      <c r="R19" s="14">
        <f t="shared" si="14"/>
        <v>4.9476228008347007</v>
      </c>
    </row>
    <row r="20" spans="2:22" x14ac:dyDescent="0.25">
      <c r="B20" s="9" t="s">
        <v>0</v>
      </c>
      <c r="C20" s="9" t="s">
        <v>1</v>
      </c>
      <c r="D20" s="9" t="s">
        <v>23</v>
      </c>
      <c r="E20" s="9" t="s">
        <v>2</v>
      </c>
      <c r="F20" s="9" t="s">
        <v>14</v>
      </c>
      <c r="G20" s="9" t="s">
        <v>3</v>
      </c>
      <c r="H20" s="9" t="s">
        <v>13</v>
      </c>
      <c r="I20" s="9" t="s">
        <v>19</v>
      </c>
      <c r="J20" s="9" t="s">
        <v>18</v>
      </c>
      <c r="K20" s="9" t="s">
        <v>31</v>
      </c>
      <c r="L20" s="9" t="s">
        <v>15</v>
      </c>
      <c r="M20" s="10" t="s">
        <v>16</v>
      </c>
      <c r="N20" s="9" t="s">
        <v>20</v>
      </c>
      <c r="O20" s="9" t="s">
        <v>29</v>
      </c>
      <c r="P20" s="9" t="s">
        <v>22</v>
      </c>
      <c r="Q20" s="11" t="s">
        <v>21</v>
      </c>
      <c r="R20" s="9" t="s">
        <v>17</v>
      </c>
    </row>
    <row r="21" spans="2:22" x14ac:dyDescent="0.25">
      <c r="B21" s="1" t="s">
        <v>4</v>
      </c>
      <c r="C21" s="1">
        <v>1</v>
      </c>
      <c r="D21" s="2">
        <v>2.65</v>
      </c>
      <c r="E21" s="2">
        <v>0.74</v>
      </c>
      <c r="F21" s="2">
        <v>0.05</v>
      </c>
      <c r="G21" s="2">
        <v>1</v>
      </c>
      <c r="H21" s="13">
        <v>0.22</v>
      </c>
      <c r="I21" s="13">
        <v>0.1</v>
      </c>
      <c r="J21" s="2">
        <v>0</v>
      </c>
      <c r="K21" s="25">
        <f t="shared" si="5"/>
        <v>2.1100000000000003</v>
      </c>
      <c r="L21" s="13">
        <f t="shared" si="6"/>
        <v>4.76</v>
      </c>
      <c r="M21" s="21">
        <v>19.489999999999998</v>
      </c>
      <c r="N21" s="13">
        <f t="shared" ref="N21:N26" si="15">(M21-4)*0.8</f>
        <v>12.391999999999999</v>
      </c>
      <c r="O21" s="24">
        <f t="shared" ref="O21:O26" si="16">(N21-J21-I21-H21-G21-F21-E21)/C21</f>
        <v>10.281999999999998</v>
      </c>
      <c r="P21" s="15">
        <f t="shared" ref="P21:P26" si="17">N21-L21</f>
        <v>7.6319999999999997</v>
      </c>
      <c r="Q21" s="16">
        <f t="shared" ref="Q21:Q26" si="18">(P21/M21)</f>
        <v>0.39158542842483324</v>
      </c>
      <c r="R21" s="14">
        <f t="shared" ref="R21:R26" si="19">M21/P21</f>
        <v>2.5537211740041927</v>
      </c>
    </row>
    <row r="22" spans="2:22" x14ac:dyDescent="0.25">
      <c r="B22" s="1" t="s">
        <v>4</v>
      </c>
      <c r="C22" s="1">
        <v>5</v>
      </c>
      <c r="D22" s="2">
        <v>2.65</v>
      </c>
      <c r="E22" s="2">
        <v>0.74</v>
      </c>
      <c r="F22" s="2">
        <v>0.05</v>
      </c>
      <c r="G22" s="2">
        <v>1</v>
      </c>
      <c r="H22" s="13">
        <v>0.22</v>
      </c>
      <c r="I22" s="13">
        <v>0.1</v>
      </c>
      <c r="J22" s="2">
        <v>0</v>
      </c>
      <c r="K22" s="25">
        <f t="shared" si="5"/>
        <v>2.1100000000000003</v>
      </c>
      <c r="L22" s="13">
        <f t="shared" si="6"/>
        <v>15.36</v>
      </c>
      <c r="M22" s="21">
        <v>25.89</v>
      </c>
      <c r="N22" s="13">
        <f t="shared" si="15"/>
        <v>17.512</v>
      </c>
      <c r="O22" s="24">
        <f t="shared" si="16"/>
        <v>3.0804</v>
      </c>
      <c r="P22" s="15">
        <f t="shared" si="17"/>
        <v>2.152000000000001</v>
      </c>
      <c r="Q22" s="16">
        <f t="shared" si="18"/>
        <v>8.3120896098879918E-2</v>
      </c>
      <c r="R22" s="14">
        <f t="shared" si="19"/>
        <v>12.030669144981408</v>
      </c>
      <c r="U22" s="5"/>
    </row>
    <row r="23" spans="2:22" x14ac:dyDescent="0.25">
      <c r="B23" s="1" t="s">
        <v>4</v>
      </c>
      <c r="C23" s="1">
        <v>7</v>
      </c>
      <c r="D23" s="2">
        <v>2.65</v>
      </c>
      <c r="E23" s="2">
        <v>0.74</v>
      </c>
      <c r="F23" s="2">
        <v>0.05</v>
      </c>
      <c r="G23" s="2">
        <v>1</v>
      </c>
      <c r="H23" s="13">
        <v>0.22</v>
      </c>
      <c r="I23" s="13">
        <v>0.1</v>
      </c>
      <c r="J23" s="2">
        <v>0</v>
      </c>
      <c r="K23" s="25">
        <f t="shared" si="5"/>
        <v>2.1100000000000003</v>
      </c>
      <c r="L23" s="13">
        <f t="shared" si="6"/>
        <v>20.66</v>
      </c>
      <c r="M23" s="21">
        <v>34.9</v>
      </c>
      <c r="N23" s="13">
        <f t="shared" si="15"/>
        <v>24.72</v>
      </c>
      <c r="O23" s="24">
        <f t="shared" si="16"/>
        <v>3.23</v>
      </c>
      <c r="P23" s="15">
        <f t="shared" si="17"/>
        <v>4.0599999999999987</v>
      </c>
      <c r="Q23" s="16">
        <f t="shared" si="18"/>
        <v>0.11633237822349567</v>
      </c>
      <c r="R23" s="14">
        <f t="shared" si="19"/>
        <v>8.5960591133004947</v>
      </c>
    </row>
    <row r="24" spans="2:22" x14ac:dyDescent="0.25">
      <c r="B24" s="1" t="s">
        <v>4</v>
      </c>
      <c r="C24" s="1">
        <v>8</v>
      </c>
      <c r="D24" s="2">
        <v>2.65</v>
      </c>
      <c r="E24" s="2">
        <v>0.74</v>
      </c>
      <c r="F24" s="2">
        <v>0.05</v>
      </c>
      <c r="G24" s="2">
        <v>1</v>
      </c>
      <c r="H24" s="13">
        <v>0.22</v>
      </c>
      <c r="I24" s="13">
        <v>0.1</v>
      </c>
      <c r="J24" s="2">
        <v>0</v>
      </c>
      <c r="K24" s="25">
        <f t="shared" si="5"/>
        <v>2.1100000000000003</v>
      </c>
      <c r="L24" s="13">
        <f t="shared" si="6"/>
        <v>23.31</v>
      </c>
      <c r="M24" s="21">
        <v>38.380000000000003</v>
      </c>
      <c r="N24" s="13">
        <f t="shared" si="15"/>
        <v>27.504000000000005</v>
      </c>
      <c r="O24" s="24">
        <f t="shared" si="16"/>
        <v>3.1742500000000007</v>
      </c>
      <c r="P24" s="15">
        <f t="shared" si="17"/>
        <v>4.1940000000000062</v>
      </c>
      <c r="Q24" s="16">
        <f t="shared" si="18"/>
        <v>0.10927566440854627</v>
      </c>
      <c r="R24" s="14">
        <f t="shared" si="19"/>
        <v>9.1511683357176796</v>
      </c>
      <c r="V24" s="5"/>
    </row>
    <row r="25" spans="2:22" x14ac:dyDescent="0.25">
      <c r="B25" s="1" t="s">
        <v>4</v>
      </c>
      <c r="C25" s="1">
        <v>10</v>
      </c>
      <c r="D25" s="2">
        <v>2.65</v>
      </c>
      <c r="E25" s="2">
        <v>0.83</v>
      </c>
      <c r="F25" s="2">
        <v>0.05</v>
      </c>
      <c r="G25" s="2">
        <v>1</v>
      </c>
      <c r="H25" s="13">
        <v>0.22</v>
      </c>
      <c r="I25" s="13">
        <v>0.1</v>
      </c>
      <c r="J25" s="2">
        <v>0</v>
      </c>
      <c r="K25" s="25">
        <f t="shared" si="5"/>
        <v>2.2000000000000002</v>
      </c>
      <c r="L25" s="13">
        <f t="shared" si="6"/>
        <v>28.7</v>
      </c>
      <c r="M25" s="21">
        <v>47.52</v>
      </c>
      <c r="N25" s="13">
        <f t="shared" si="15"/>
        <v>34.816000000000003</v>
      </c>
      <c r="O25" s="24">
        <f t="shared" si="16"/>
        <v>3.2616000000000005</v>
      </c>
      <c r="P25" s="15">
        <f t="shared" si="17"/>
        <v>6.1160000000000032</v>
      </c>
      <c r="Q25" s="16">
        <f t="shared" si="18"/>
        <v>0.12870370370370376</v>
      </c>
      <c r="R25" s="14">
        <f t="shared" si="19"/>
        <v>7.7697841726618666</v>
      </c>
    </row>
    <row r="26" spans="2:22" x14ac:dyDescent="0.25">
      <c r="B26" s="1" t="s">
        <v>4</v>
      </c>
      <c r="C26" s="1">
        <v>15</v>
      </c>
      <c r="D26" s="2">
        <v>2.65</v>
      </c>
      <c r="E26" s="2">
        <v>0.7</v>
      </c>
      <c r="F26" s="2">
        <v>0.05</v>
      </c>
      <c r="G26" s="2">
        <v>1</v>
      </c>
      <c r="H26" s="13">
        <v>0.22</v>
      </c>
      <c r="I26" s="13">
        <v>0.1</v>
      </c>
      <c r="J26" s="2">
        <v>0</v>
      </c>
      <c r="K26" s="25">
        <f t="shared" si="5"/>
        <v>2.0699999999999998</v>
      </c>
      <c r="L26" s="13">
        <f t="shared" si="6"/>
        <v>41.82</v>
      </c>
      <c r="M26" s="21">
        <v>69.989999999999995</v>
      </c>
      <c r="N26" s="13">
        <f t="shared" si="15"/>
        <v>52.792000000000002</v>
      </c>
      <c r="O26" s="24">
        <f t="shared" si="16"/>
        <v>3.3814666666666668</v>
      </c>
      <c r="P26" s="15">
        <f t="shared" si="17"/>
        <v>10.972000000000001</v>
      </c>
      <c r="Q26" s="16">
        <f t="shared" si="18"/>
        <v>0.15676525217888274</v>
      </c>
      <c r="R26" s="14">
        <f t="shared" si="19"/>
        <v>6.3789646372584752</v>
      </c>
    </row>
    <row r="27" spans="2:22" x14ac:dyDescent="0.25">
      <c r="B27" s="9" t="s">
        <v>0</v>
      </c>
      <c r="C27" s="9" t="s">
        <v>1</v>
      </c>
      <c r="D27" s="9" t="s">
        <v>23</v>
      </c>
      <c r="E27" s="9" t="s">
        <v>2</v>
      </c>
      <c r="F27" s="9" t="s">
        <v>14</v>
      </c>
      <c r="G27" s="9" t="s">
        <v>3</v>
      </c>
      <c r="H27" s="9" t="s">
        <v>13</v>
      </c>
      <c r="I27" s="9" t="s">
        <v>19</v>
      </c>
      <c r="J27" s="9" t="s">
        <v>18</v>
      </c>
      <c r="K27" s="9" t="s">
        <v>31</v>
      </c>
      <c r="L27" s="9" t="s">
        <v>15</v>
      </c>
      <c r="M27" s="10" t="s">
        <v>16</v>
      </c>
      <c r="N27" s="9" t="s">
        <v>20</v>
      </c>
      <c r="O27" s="9" t="s">
        <v>29</v>
      </c>
      <c r="P27" s="9" t="s">
        <v>22</v>
      </c>
      <c r="Q27" s="11" t="s">
        <v>21</v>
      </c>
      <c r="R27" s="9" t="s">
        <v>17</v>
      </c>
      <c r="V27" s="5"/>
    </row>
    <row r="28" spans="2:22" x14ac:dyDescent="0.25">
      <c r="B28" s="1" t="s">
        <v>28</v>
      </c>
      <c r="C28" s="1">
        <v>1</v>
      </c>
      <c r="D28" s="2">
        <v>2.85</v>
      </c>
      <c r="E28" s="2">
        <v>0.74</v>
      </c>
      <c r="F28" s="2">
        <v>0.05</v>
      </c>
      <c r="G28" s="2">
        <v>1</v>
      </c>
      <c r="H28" s="13">
        <v>0.22</v>
      </c>
      <c r="I28" s="13">
        <v>0.1</v>
      </c>
      <c r="J28" s="2">
        <v>0</v>
      </c>
      <c r="K28" s="25">
        <f t="shared" si="5"/>
        <v>2.1100000000000003</v>
      </c>
      <c r="L28" s="13">
        <f t="shared" si="6"/>
        <v>4.9600000000000009</v>
      </c>
      <c r="M28" s="30">
        <v>19.88</v>
      </c>
      <c r="N28" s="13">
        <f t="shared" ref="N28:N32" si="20">(M28-4)*0.8</f>
        <v>12.704000000000001</v>
      </c>
      <c r="O28" s="24">
        <f t="shared" ref="O28:O32" si="21">(N28-J28-I28-H28-G28-F28-E28)/C28</f>
        <v>10.593999999999999</v>
      </c>
      <c r="P28" s="15">
        <f t="shared" ref="P28:P32" si="22">N28-L28</f>
        <v>7.7439999999999998</v>
      </c>
      <c r="Q28" s="16">
        <f t="shared" ref="Q28:Q32" si="23">(P28/M28)</f>
        <v>0.38953722334004026</v>
      </c>
      <c r="R28" s="14">
        <f t="shared" ref="R28:R32" si="24">M28/P28</f>
        <v>2.5671487603305785</v>
      </c>
      <c r="U28" s="5"/>
    </row>
    <row r="29" spans="2:22" x14ac:dyDescent="0.25">
      <c r="B29" s="1" t="s">
        <v>28</v>
      </c>
      <c r="C29" s="1">
        <v>5</v>
      </c>
      <c r="D29" s="2">
        <v>2.85</v>
      </c>
      <c r="E29" s="2">
        <v>0.74</v>
      </c>
      <c r="F29" s="2">
        <v>0.05</v>
      </c>
      <c r="G29" s="2">
        <v>1</v>
      </c>
      <c r="H29" s="13">
        <v>0.22</v>
      </c>
      <c r="I29" s="13">
        <v>0.1</v>
      </c>
      <c r="J29" s="2">
        <v>0</v>
      </c>
      <c r="K29" s="25">
        <f t="shared" si="5"/>
        <v>2.1100000000000003</v>
      </c>
      <c r="L29" s="13">
        <f t="shared" si="6"/>
        <v>16.36</v>
      </c>
      <c r="M29" s="21">
        <v>27.99</v>
      </c>
      <c r="N29" s="13">
        <f t="shared" si="20"/>
        <v>19.192</v>
      </c>
      <c r="O29" s="24">
        <f t="shared" si="21"/>
        <v>3.4164000000000003</v>
      </c>
      <c r="P29" s="15">
        <f t="shared" si="22"/>
        <v>2.8320000000000007</v>
      </c>
      <c r="Q29" s="16">
        <f t="shared" si="23"/>
        <v>0.1011789924973205</v>
      </c>
      <c r="R29" s="14">
        <f t="shared" si="24"/>
        <v>9.8834745762711833</v>
      </c>
    </row>
    <row r="30" spans="2:22" x14ac:dyDescent="0.25">
      <c r="B30" s="1" t="s">
        <v>28</v>
      </c>
      <c r="C30" s="1">
        <v>7</v>
      </c>
      <c r="D30" s="2">
        <v>2.85</v>
      </c>
      <c r="E30" s="2">
        <v>0.74</v>
      </c>
      <c r="F30" s="2">
        <v>0.05</v>
      </c>
      <c r="G30" s="2">
        <v>1</v>
      </c>
      <c r="H30" s="13">
        <v>0.22</v>
      </c>
      <c r="I30" s="13">
        <v>0.1</v>
      </c>
      <c r="J30" s="2">
        <v>0</v>
      </c>
      <c r="K30" s="25">
        <f t="shared" si="5"/>
        <v>2.1100000000000003</v>
      </c>
      <c r="L30" s="13">
        <f t="shared" si="6"/>
        <v>22.06</v>
      </c>
      <c r="M30" s="21">
        <v>36.99</v>
      </c>
      <c r="N30" s="13">
        <f t="shared" si="20"/>
        <v>26.392000000000003</v>
      </c>
      <c r="O30" s="24">
        <f t="shared" si="21"/>
        <v>3.4688571428571433</v>
      </c>
      <c r="P30" s="15">
        <f t="shared" si="22"/>
        <v>4.3320000000000043</v>
      </c>
      <c r="Q30" s="16">
        <f t="shared" si="23"/>
        <v>0.11711273317112744</v>
      </c>
      <c r="R30" s="14">
        <f t="shared" si="24"/>
        <v>8.5387811634348942</v>
      </c>
      <c r="U30" s="5"/>
    </row>
    <row r="31" spans="2:22" x14ac:dyDescent="0.25">
      <c r="B31" s="1" t="s">
        <v>28</v>
      </c>
      <c r="C31" s="1">
        <v>8</v>
      </c>
      <c r="D31" s="2">
        <v>2.85</v>
      </c>
      <c r="E31" s="2">
        <v>0.74</v>
      </c>
      <c r="F31" s="2">
        <v>0.05</v>
      </c>
      <c r="G31" s="2">
        <v>1</v>
      </c>
      <c r="H31" s="13">
        <v>0.22</v>
      </c>
      <c r="I31" s="13">
        <v>0.1</v>
      </c>
      <c r="J31" s="2">
        <v>0</v>
      </c>
      <c r="K31" s="25">
        <f t="shared" si="5"/>
        <v>2.1100000000000003</v>
      </c>
      <c r="L31" s="13">
        <f t="shared" si="6"/>
        <v>24.91</v>
      </c>
      <c r="M31" s="21">
        <v>41.99</v>
      </c>
      <c r="N31" s="13">
        <f t="shared" si="20"/>
        <v>30.392000000000003</v>
      </c>
      <c r="O31" s="24">
        <f t="shared" si="21"/>
        <v>3.5352500000000004</v>
      </c>
      <c r="P31" s="15">
        <f t="shared" si="22"/>
        <v>5.4820000000000029</v>
      </c>
      <c r="Q31" s="16">
        <f t="shared" si="23"/>
        <v>0.13055489402238635</v>
      </c>
      <c r="R31" s="14">
        <f t="shared" si="24"/>
        <v>7.6596132798248782</v>
      </c>
    </row>
    <row r="32" spans="2:22" x14ac:dyDescent="0.25">
      <c r="B32" s="1" t="s">
        <v>28</v>
      </c>
      <c r="C32" s="1">
        <v>10</v>
      </c>
      <c r="D32" s="2">
        <v>2.85</v>
      </c>
      <c r="E32" s="2">
        <v>0.83</v>
      </c>
      <c r="F32" s="2">
        <v>0.05</v>
      </c>
      <c r="G32" s="2">
        <v>1</v>
      </c>
      <c r="H32" s="13">
        <v>0.22</v>
      </c>
      <c r="I32" s="13">
        <v>0.1</v>
      </c>
      <c r="J32" s="2">
        <v>0</v>
      </c>
      <c r="K32" s="25">
        <f t="shared" si="5"/>
        <v>2.2000000000000002</v>
      </c>
      <c r="L32" s="13">
        <f t="shared" si="6"/>
        <v>30.7</v>
      </c>
      <c r="M32" s="21">
        <v>49.99</v>
      </c>
      <c r="N32" s="13">
        <f t="shared" si="20"/>
        <v>36.792000000000002</v>
      </c>
      <c r="O32" s="24">
        <f t="shared" si="21"/>
        <v>3.4592000000000005</v>
      </c>
      <c r="P32" s="15">
        <f t="shared" si="22"/>
        <v>6.0920000000000023</v>
      </c>
      <c r="Q32" s="16">
        <f t="shared" si="23"/>
        <v>0.12186437287457495</v>
      </c>
      <c r="R32" s="14">
        <f t="shared" si="24"/>
        <v>8.205843729481284</v>
      </c>
    </row>
    <row r="33" spans="2:22" x14ac:dyDescent="0.25">
      <c r="B33" s="1" t="s">
        <v>38</v>
      </c>
      <c r="C33" s="1">
        <v>13</v>
      </c>
      <c r="D33" s="2">
        <v>2.85</v>
      </c>
      <c r="E33" s="2">
        <v>0.83</v>
      </c>
      <c r="F33" s="2">
        <v>0.05</v>
      </c>
      <c r="G33" s="2">
        <v>1</v>
      </c>
      <c r="H33" s="13">
        <v>0.22</v>
      </c>
      <c r="I33" s="13">
        <v>0.1</v>
      </c>
      <c r="J33" s="2">
        <v>0</v>
      </c>
      <c r="K33" s="25">
        <f t="shared" ref="K33" si="25">E33+F33+G33+H33+I33+J33</f>
        <v>2.2000000000000002</v>
      </c>
      <c r="L33" s="13">
        <f t="shared" ref="L33" si="26">(D33*C33)+K33</f>
        <v>39.250000000000007</v>
      </c>
      <c r="M33" s="21">
        <v>62.99</v>
      </c>
      <c r="N33" s="13">
        <f t="shared" ref="N33" si="27">(M33-4)*0.8</f>
        <v>47.192000000000007</v>
      </c>
      <c r="O33" s="24">
        <f t="shared" ref="O33" si="28">(N33-J33-I33-H33-G33-F33-E33)/C33</f>
        <v>3.4609230769230779</v>
      </c>
      <c r="P33" s="15">
        <f t="shared" ref="P33" si="29">N33-L33</f>
        <v>7.9420000000000002</v>
      </c>
      <c r="Q33" s="16">
        <f t="shared" ref="Q33" si="30">(P33/M33)</f>
        <v>0.12608350531830448</v>
      </c>
      <c r="R33" s="14">
        <f t="shared" ref="R33" si="31">M33/P33</f>
        <v>7.9312515739108536</v>
      </c>
    </row>
    <row r="34" spans="2:22" x14ac:dyDescent="0.25">
      <c r="B34" s="1" t="s">
        <v>28</v>
      </c>
      <c r="C34" s="1">
        <v>15</v>
      </c>
      <c r="D34" s="2">
        <v>2.85</v>
      </c>
      <c r="E34" s="2">
        <v>0.7</v>
      </c>
      <c r="F34" s="2">
        <v>0.05</v>
      </c>
      <c r="G34" s="2">
        <v>1</v>
      </c>
      <c r="H34" s="13">
        <v>0.22</v>
      </c>
      <c r="I34" s="13">
        <v>0.1</v>
      </c>
      <c r="J34" s="2">
        <v>0</v>
      </c>
      <c r="K34" s="25">
        <f t="shared" ref="K34" si="32">E34+F34+G34+H34+I34+J34</f>
        <v>2.0699999999999998</v>
      </c>
      <c r="L34" s="13">
        <f t="shared" ref="L34" si="33">(D34*C34)+K34</f>
        <v>44.82</v>
      </c>
      <c r="M34" s="21">
        <v>69.989999999999995</v>
      </c>
      <c r="N34" s="13">
        <f t="shared" ref="N34" si="34">(M34-4)*0.8</f>
        <v>52.792000000000002</v>
      </c>
      <c r="O34" s="24">
        <f t="shared" ref="O34" si="35">(N34-J34-I34-H34-G34-F34-E34)/C34</f>
        <v>3.3814666666666668</v>
      </c>
      <c r="P34" s="15">
        <f t="shared" ref="P34" si="36">N34-L34</f>
        <v>7.9720000000000013</v>
      </c>
      <c r="Q34" s="16">
        <f t="shared" ref="Q34" si="37">(P34/M34)</f>
        <v>0.11390198599799974</v>
      </c>
      <c r="R34" s="14">
        <f t="shared" ref="R34" si="38">M34/P34</f>
        <v>8.7794781736076253</v>
      </c>
    </row>
    <row r="35" spans="2:22" x14ac:dyDescent="0.25">
      <c r="B35" s="1" t="s">
        <v>28</v>
      </c>
      <c r="C35" s="1">
        <v>17</v>
      </c>
      <c r="D35" s="2">
        <v>2.85</v>
      </c>
      <c r="E35" s="2">
        <v>0.7</v>
      </c>
      <c r="F35" s="2">
        <v>0.05</v>
      </c>
      <c r="G35" s="2">
        <v>1</v>
      </c>
      <c r="H35" s="13">
        <v>0.22</v>
      </c>
      <c r="I35" s="13">
        <v>0.1</v>
      </c>
      <c r="J35" s="2">
        <v>0</v>
      </c>
      <c r="K35" s="25">
        <f t="shared" ref="K35" si="39">E35+F35+G35+H35+I35+J35</f>
        <v>2.0699999999999998</v>
      </c>
      <c r="L35" s="13">
        <f t="shared" ref="L35" si="40">(D35*C35)+K35</f>
        <v>50.52</v>
      </c>
      <c r="M35" s="21">
        <v>78.989999999999995</v>
      </c>
      <c r="N35" s="13">
        <f t="shared" ref="N35" si="41">(M35-4)*0.8</f>
        <v>59.991999999999997</v>
      </c>
      <c r="O35" s="24">
        <f t="shared" ref="O35" si="42">(N35-J35-I35-H35-G35-F35-E35)/C35</f>
        <v>3.4071764705882353</v>
      </c>
      <c r="P35" s="15">
        <f t="shared" ref="P35" si="43">N35-L35</f>
        <v>9.4719999999999942</v>
      </c>
      <c r="Q35" s="16">
        <f t="shared" ref="Q35" si="44">(P35/M35)</f>
        <v>0.11991391315356367</v>
      </c>
      <c r="R35" s="14">
        <f t="shared" ref="R35" si="45">M35/P35</f>
        <v>8.3393158783783825</v>
      </c>
    </row>
    <row r="36" spans="2:22" x14ac:dyDescent="0.25">
      <c r="B36" s="1" t="s">
        <v>28</v>
      </c>
      <c r="C36" s="1">
        <v>18</v>
      </c>
      <c r="D36" s="2">
        <v>2.85</v>
      </c>
      <c r="E36" s="2">
        <v>0.7</v>
      </c>
      <c r="F36" s="2">
        <v>0.05</v>
      </c>
      <c r="G36" s="2">
        <v>1</v>
      </c>
      <c r="H36" s="13">
        <v>0.22</v>
      </c>
      <c r="I36" s="13">
        <v>0.1</v>
      </c>
      <c r="J36" s="2">
        <v>0</v>
      </c>
      <c r="K36" s="25">
        <f t="shared" ref="K36:K37" si="46">E36+F36+G36+H36+I36+J36</f>
        <v>2.0699999999999998</v>
      </c>
      <c r="L36" s="13">
        <f t="shared" ref="L36:L37" si="47">(D36*C36)+K36</f>
        <v>53.370000000000005</v>
      </c>
      <c r="M36" s="21">
        <v>82.99</v>
      </c>
      <c r="N36" s="13">
        <f t="shared" ref="N36:N37" si="48">(M36-4)*0.8</f>
        <v>63.192</v>
      </c>
      <c r="O36" s="24">
        <f t="shared" ref="O36:O37" si="49">(N36-J36-I36-H36-G36-F36-E36)/C36</f>
        <v>3.3956666666666666</v>
      </c>
      <c r="P36" s="15">
        <f t="shared" ref="P36:P37" si="50">N36-L36</f>
        <v>9.8219999999999956</v>
      </c>
      <c r="Q36" s="16">
        <f t="shared" ref="Q36:Q37" si="51">(P36/M36)</f>
        <v>0.11835160862754544</v>
      </c>
      <c r="R36" s="14">
        <f t="shared" ref="R36:R37" si="52">M36/P36</f>
        <v>8.4493993076766483</v>
      </c>
    </row>
    <row r="37" spans="2:22" x14ac:dyDescent="0.25">
      <c r="B37" s="1" t="s">
        <v>28</v>
      </c>
      <c r="C37" s="1">
        <v>20</v>
      </c>
      <c r="D37" s="2">
        <v>2.85</v>
      </c>
      <c r="E37" s="2">
        <v>0.7</v>
      </c>
      <c r="F37" s="2">
        <v>0.05</v>
      </c>
      <c r="G37" s="2">
        <v>1</v>
      </c>
      <c r="H37" s="13">
        <v>0.22</v>
      </c>
      <c r="I37" s="13">
        <v>0.1</v>
      </c>
      <c r="J37" s="2">
        <v>0</v>
      </c>
      <c r="K37" s="25">
        <f t="shared" si="46"/>
        <v>2.0699999999999998</v>
      </c>
      <c r="L37" s="13">
        <f t="shared" si="47"/>
        <v>59.07</v>
      </c>
      <c r="M37" s="21">
        <v>92.99</v>
      </c>
      <c r="N37" s="13">
        <f t="shared" si="48"/>
        <v>71.191999999999993</v>
      </c>
      <c r="O37" s="24">
        <f t="shared" si="49"/>
        <v>3.4561000000000002</v>
      </c>
      <c r="P37" s="15">
        <f t="shared" si="50"/>
        <v>12.121999999999993</v>
      </c>
      <c r="Q37" s="16">
        <f t="shared" si="51"/>
        <v>0.13035810302183024</v>
      </c>
      <c r="R37" s="14">
        <f t="shared" si="52"/>
        <v>7.6711763735357241</v>
      </c>
    </row>
    <row r="38" spans="2:22" x14ac:dyDescent="0.25">
      <c r="B38" s="9" t="s">
        <v>0</v>
      </c>
      <c r="C38" s="9" t="s">
        <v>1</v>
      </c>
      <c r="D38" s="9" t="s">
        <v>23</v>
      </c>
      <c r="E38" s="9" t="s">
        <v>2</v>
      </c>
      <c r="F38" s="9" t="s">
        <v>14</v>
      </c>
      <c r="G38" s="9" t="s">
        <v>3</v>
      </c>
      <c r="H38" s="9" t="s">
        <v>13</v>
      </c>
      <c r="I38" s="9" t="s">
        <v>19</v>
      </c>
      <c r="J38" s="9" t="s">
        <v>18</v>
      </c>
      <c r="K38" s="9" t="s">
        <v>31</v>
      </c>
      <c r="L38" s="9" t="s">
        <v>15</v>
      </c>
      <c r="M38" s="10" t="s">
        <v>16</v>
      </c>
      <c r="N38" s="9" t="s">
        <v>20</v>
      </c>
      <c r="O38" s="9" t="s">
        <v>29</v>
      </c>
      <c r="P38" s="9" t="s">
        <v>22</v>
      </c>
      <c r="Q38" s="11" t="s">
        <v>21</v>
      </c>
      <c r="R38" s="9" t="s">
        <v>17</v>
      </c>
      <c r="V38" s="5"/>
    </row>
    <row r="39" spans="2:22" x14ac:dyDescent="0.25">
      <c r="B39" s="1" t="s">
        <v>24</v>
      </c>
      <c r="C39" s="1">
        <v>1</v>
      </c>
      <c r="D39" s="2">
        <v>14.2</v>
      </c>
      <c r="E39" s="2">
        <v>0.52</v>
      </c>
      <c r="F39" s="2">
        <v>0.09</v>
      </c>
      <c r="G39" s="2">
        <v>1</v>
      </c>
      <c r="H39" s="13">
        <v>0.22</v>
      </c>
      <c r="I39" s="13">
        <v>0.1</v>
      </c>
      <c r="J39" s="2">
        <v>0</v>
      </c>
      <c r="K39" s="25">
        <f t="shared" si="5"/>
        <v>1.93</v>
      </c>
      <c r="L39" s="13">
        <f t="shared" si="6"/>
        <v>16.13</v>
      </c>
      <c r="M39" s="21">
        <v>29.99</v>
      </c>
      <c r="N39" s="13">
        <f t="shared" ref="N39:N40" si="53">(M39-4)*0.8</f>
        <v>20.792000000000002</v>
      </c>
      <c r="O39" s="24">
        <f t="shared" ref="O39:O44" si="54">(N39-J39-I39-H39-G39-F39-E39)/C39</f>
        <v>18.862000000000002</v>
      </c>
      <c r="P39" s="15">
        <f t="shared" ref="P39:P44" si="55">N39-L39</f>
        <v>4.6620000000000026</v>
      </c>
      <c r="Q39" s="16">
        <f t="shared" ref="Q39:Q44" si="56">(P39/M39)</f>
        <v>0.15545181727242424</v>
      </c>
      <c r="R39" s="14">
        <f t="shared" ref="R39:R44" si="57">M39/P39</f>
        <v>6.4328614328614293</v>
      </c>
    </row>
    <row r="40" spans="2:22" ht="15" customHeight="1" x14ac:dyDescent="0.25">
      <c r="B40" s="1" t="s">
        <v>24</v>
      </c>
      <c r="C40" s="1">
        <v>2</v>
      </c>
      <c r="D40" s="2">
        <v>14.2</v>
      </c>
      <c r="E40" s="2">
        <v>0.52</v>
      </c>
      <c r="F40" s="2">
        <v>0.09</v>
      </c>
      <c r="G40" s="2">
        <v>1</v>
      </c>
      <c r="H40" s="13">
        <v>0.22</v>
      </c>
      <c r="I40" s="13">
        <v>0.1</v>
      </c>
      <c r="J40" s="2">
        <v>0</v>
      </c>
      <c r="K40" s="25">
        <f t="shared" si="5"/>
        <v>1.93</v>
      </c>
      <c r="L40" s="13">
        <f t="shared" si="6"/>
        <v>30.33</v>
      </c>
      <c r="M40" s="21">
        <v>53.99</v>
      </c>
      <c r="N40" s="13">
        <f t="shared" si="53"/>
        <v>39.992000000000004</v>
      </c>
      <c r="O40" s="24">
        <f t="shared" si="54"/>
        <v>19.030999999999999</v>
      </c>
      <c r="P40" s="15">
        <f t="shared" si="55"/>
        <v>9.6620000000000061</v>
      </c>
      <c r="Q40" s="16">
        <f t="shared" si="56"/>
        <v>0.17895906649379525</v>
      </c>
      <c r="R40" s="14">
        <f t="shared" si="57"/>
        <v>5.5878700062098909</v>
      </c>
    </row>
    <row r="41" spans="2:22" x14ac:dyDescent="0.25">
      <c r="B41" s="1" t="s">
        <v>24</v>
      </c>
      <c r="C41" s="1">
        <v>4</v>
      </c>
      <c r="D41" s="2">
        <v>14.2</v>
      </c>
      <c r="E41" s="2">
        <v>0.52</v>
      </c>
      <c r="F41" s="2">
        <v>0.09</v>
      </c>
      <c r="G41" s="2">
        <v>1</v>
      </c>
      <c r="H41" s="13">
        <v>0.22</v>
      </c>
      <c r="I41" s="13">
        <v>0.1</v>
      </c>
      <c r="J41" s="2">
        <v>0</v>
      </c>
      <c r="K41" s="25">
        <f t="shared" si="5"/>
        <v>1.93</v>
      </c>
      <c r="L41" s="13">
        <f t="shared" si="6"/>
        <v>58.73</v>
      </c>
      <c r="M41" s="21">
        <v>105.99</v>
      </c>
      <c r="N41" s="13">
        <f>(M41-20)*0.86</f>
        <v>73.951399999999992</v>
      </c>
      <c r="O41" s="24">
        <f t="shared" si="54"/>
        <v>18.00535</v>
      </c>
      <c r="P41" s="15">
        <f t="shared" si="55"/>
        <v>15.221399999999996</v>
      </c>
      <c r="Q41" s="16">
        <f t="shared" si="56"/>
        <v>0.14361166147749785</v>
      </c>
      <c r="R41" s="14">
        <f t="shared" si="57"/>
        <v>6.9632228310142317</v>
      </c>
    </row>
    <row r="42" spans="2:22" x14ac:dyDescent="0.25">
      <c r="B42" s="1" t="s">
        <v>24</v>
      </c>
      <c r="C42" s="1">
        <v>6</v>
      </c>
      <c r="D42" s="2">
        <v>14.2</v>
      </c>
      <c r="E42" s="2">
        <v>0.52</v>
      </c>
      <c r="F42" s="2">
        <v>0.09</v>
      </c>
      <c r="G42" s="2">
        <v>1</v>
      </c>
      <c r="H42" s="13">
        <v>0.22</v>
      </c>
      <c r="I42" s="13">
        <v>0.1</v>
      </c>
      <c r="J42" s="2">
        <v>0</v>
      </c>
      <c r="K42" s="25">
        <f t="shared" si="5"/>
        <v>1.93</v>
      </c>
      <c r="L42" s="13">
        <f t="shared" si="6"/>
        <v>87.13</v>
      </c>
      <c r="M42" s="21">
        <v>149.97999999999999</v>
      </c>
      <c r="N42" s="13">
        <f>(M42-20)*0.86</f>
        <v>111.78279999999999</v>
      </c>
      <c r="O42" s="24">
        <f t="shared" si="54"/>
        <v>18.308800000000002</v>
      </c>
      <c r="P42" s="15">
        <f t="shared" si="55"/>
        <v>24.652799999999999</v>
      </c>
      <c r="Q42" s="16">
        <f t="shared" si="56"/>
        <v>0.16437391652220296</v>
      </c>
      <c r="R42" s="14">
        <f t="shared" si="57"/>
        <v>6.0836902907580477</v>
      </c>
    </row>
    <row r="43" spans="2:22" x14ac:dyDescent="0.25">
      <c r="B43" s="1" t="s">
        <v>24</v>
      </c>
      <c r="C43" s="1">
        <v>8</v>
      </c>
      <c r="D43" s="2">
        <v>14.2</v>
      </c>
      <c r="E43" s="2">
        <v>0.52</v>
      </c>
      <c r="F43" s="2">
        <v>0.09</v>
      </c>
      <c r="G43" s="2">
        <v>1</v>
      </c>
      <c r="H43" s="13">
        <v>0.22</v>
      </c>
      <c r="I43" s="13">
        <v>0.1</v>
      </c>
      <c r="J43" s="2">
        <v>0</v>
      </c>
      <c r="K43" s="25">
        <f t="shared" si="5"/>
        <v>1.93</v>
      </c>
      <c r="L43" s="13">
        <f t="shared" si="6"/>
        <v>115.53</v>
      </c>
      <c r="M43" s="21">
        <v>192.32</v>
      </c>
      <c r="N43" s="13">
        <f>(M43-20)*0.86</f>
        <v>148.1952</v>
      </c>
      <c r="O43" s="24">
        <f t="shared" si="54"/>
        <v>18.283149999999999</v>
      </c>
      <c r="P43" s="15">
        <f t="shared" si="55"/>
        <v>32.665199999999999</v>
      </c>
      <c r="Q43" s="16">
        <f t="shared" si="56"/>
        <v>0.16984816971713809</v>
      </c>
      <c r="R43" s="14">
        <f t="shared" si="57"/>
        <v>5.887611280506472</v>
      </c>
    </row>
    <row r="44" spans="2:22" x14ac:dyDescent="0.25">
      <c r="B44" s="1" t="s">
        <v>24</v>
      </c>
      <c r="C44" s="1">
        <v>10</v>
      </c>
      <c r="D44" s="2">
        <v>14.2</v>
      </c>
      <c r="E44" s="2">
        <v>0.52</v>
      </c>
      <c r="F44" s="2">
        <v>0.09</v>
      </c>
      <c r="G44" s="2">
        <v>1</v>
      </c>
      <c r="H44" s="13">
        <v>0.22</v>
      </c>
      <c r="I44" s="13">
        <v>0.1</v>
      </c>
      <c r="J44" s="2">
        <v>0</v>
      </c>
      <c r="K44" s="25">
        <f t="shared" si="5"/>
        <v>1.93</v>
      </c>
      <c r="L44" s="13">
        <f t="shared" si="6"/>
        <v>143.93</v>
      </c>
      <c r="M44" s="21">
        <v>232.99</v>
      </c>
      <c r="N44" s="13">
        <f>(M44-26)*0.86</f>
        <v>178.01140000000001</v>
      </c>
      <c r="O44" s="24">
        <f t="shared" si="54"/>
        <v>17.608139999999999</v>
      </c>
      <c r="P44" s="15">
        <f t="shared" si="55"/>
        <v>34.081400000000002</v>
      </c>
      <c r="Q44" s="16">
        <f t="shared" si="56"/>
        <v>0.14627838104639684</v>
      </c>
      <c r="R44" s="14">
        <f t="shared" si="57"/>
        <v>6.8362801997570521</v>
      </c>
      <c r="T44" s="5"/>
    </row>
    <row r="45" spans="2:22" x14ac:dyDescent="0.25">
      <c r="B45" s="9" t="s">
        <v>0</v>
      </c>
      <c r="C45" s="9" t="s">
        <v>1</v>
      </c>
      <c r="D45" s="9" t="s">
        <v>23</v>
      </c>
      <c r="E45" s="9" t="s">
        <v>2</v>
      </c>
      <c r="F45" s="9" t="s">
        <v>14</v>
      </c>
      <c r="G45" s="9" t="s">
        <v>3</v>
      </c>
      <c r="H45" s="9" t="s">
        <v>13</v>
      </c>
      <c r="I45" s="9" t="s">
        <v>19</v>
      </c>
      <c r="J45" s="9" t="s">
        <v>18</v>
      </c>
      <c r="K45" s="9" t="s">
        <v>31</v>
      </c>
      <c r="L45" s="9" t="s">
        <v>15</v>
      </c>
      <c r="M45" s="10" t="s">
        <v>16</v>
      </c>
      <c r="N45" s="9" t="s">
        <v>20</v>
      </c>
      <c r="O45" s="9" t="s">
        <v>29</v>
      </c>
      <c r="P45" s="9" t="s">
        <v>22</v>
      </c>
      <c r="Q45" s="11" t="s">
        <v>21</v>
      </c>
      <c r="R45" s="9" t="s">
        <v>17</v>
      </c>
    </row>
    <row r="46" spans="2:22" x14ac:dyDescent="0.25">
      <c r="B46" s="1" t="s">
        <v>25</v>
      </c>
      <c r="C46" s="1">
        <v>1</v>
      </c>
      <c r="D46" s="2">
        <v>2.7</v>
      </c>
      <c r="E46" s="13">
        <v>0.4</v>
      </c>
      <c r="F46" s="2">
        <v>0.06</v>
      </c>
      <c r="G46" s="2">
        <v>0.5</v>
      </c>
      <c r="H46" s="13">
        <v>0.22</v>
      </c>
      <c r="I46" s="13">
        <v>0.1</v>
      </c>
      <c r="J46" s="2">
        <v>0</v>
      </c>
      <c r="K46" s="25">
        <f t="shared" si="5"/>
        <v>1.28</v>
      </c>
      <c r="L46" s="13">
        <f t="shared" si="6"/>
        <v>3.9800000000000004</v>
      </c>
      <c r="M46" s="21">
        <v>11.99</v>
      </c>
      <c r="N46" s="13">
        <f>(M46-4)*0.8</f>
        <v>6.3920000000000003</v>
      </c>
      <c r="O46" s="24">
        <f>(N46-J46-I46-H46-G46-F46-E46)/C46</f>
        <v>5.112000000000001</v>
      </c>
      <c r="P46" s="15">
        <f>N46-L46</f>
        <v>2.4119999999999999</v>
      </c>
      <c r="Q46" s="16">
        <f>(P46/M46)</f>
        <v>0.2011676396997498</v>
      </c>
      <c r="R46" s="14">
        <f>M46/P46</f>
        <v>4.9709784411276949</v>
      </c>
      <c r="T46" s="5"/>
    </row>
    <row r="47" spans="2:22" x14ac:dyDescent="0.25">
      <c r="B47" s="1" t="s">
        <v>25</v>
      </c>
      <c r="C47" s="1">
        <v>2</v>
      </c>
      <c r="D47" s="2">
        <v>2.7</v>
      </c>
      <c r="E47" s="13">
        <v>0.4</v>
      </c>
      <c r="F47" s="2">
        <v>0.06</v>
      </c>
      <c r="G47" s="2">
        <v>0.5</v>
      </c>
      <c r="H47" s="13">
        <v>0.22</v>
      </c>
      <c r="I47" s="13">
        <v>0.1</v>
      </c>
      <c r="J47" s="2">
        <v>0</v>
      </c>
      <c r="K47" s="25">
        <f t="shared" si="5"/>
        <v>1.28</v>
      </c>
      <c r="L47" s="13">
        <f t="shared" si="6"/>
        <v>6.6800000000000006</v>
      </c>
      <c r="M47" s="21">
        <v>19.989999999999998</v>
      </c>
      <c r="N47" s="13">
        <f>(M47-4)*0.8</f>
        <v>12.792</v>
      </c>
      <c r="O47" s="24">
        <f>(N47-J47-I47-H47-G47-F47-E47)/C47</f>
        <v>5.7559999999999993</v>
      </c>
      <c r="P47" s="15">
        <f>N47-L47</f>
        <v>6.1119999999999992</v>
      </c>
      <c r="Q47" s="16">
        <f>(P47/M47)</f>
        <v>0.30575287643821908</v>
      </c>
      <c r="R47" s="14">
        <f>M47/P47</f>
        <v>3.2706151832460733</v>
      </c>
    </row>
    <row r="48" spans="2:22" x14ac:dyDescent="0.25">
      <c r="B48" s="1" t="s">
        <v>25</v>
      </c>
      <c r="C48" s="1">
        <v>4</v>
      </c>
      <c r="D48" s="2">
        <v>2.7</v>
      </c>
      <c r="E48" s="13">
        <v>0.7</v>
      </c>
      <c r="F48" s="2">
        <v>0.06</v>
      </c>
      <c r="G48" s="2">
        <v>0.5</v>
      </c>
      <c r="H48" s="13">
        <v>0.22</v>
      </c>
      <c r="I48" s="13">
        <v>0.1</v>
      </c>
      <c r="J48" s="2">
        <v>0</v>
      </c>
      <c r="K48" s="25">
        <f t="shared" si="5"/>
        <v>1.58</v>
      </c>
      <c r="L48" s="13">
        <f t="shared" si="6"/>
        <v>12.38</v>
      </c>
      <c r="M48" s="21">
        <v>29.49</v>
      </c>
      <c r="N48" s="13">
        <f>(M48-4)*0.8</f>
        <v>20.391999999999999</v>
      </c>
      <c r="O48" s="24">
        <f>(N48-J48-I48-H48-G48-F48-E48)/C48</f>
        <v>4.7030000000000003</v>
      </c>
      <c r="P48" s="15">
        <f>N48-L48</f>
        <v>8.0119999999999987</v>
      </c>
      <c r="Q48" s="16">
        <f>(P48/M48)</f>
        <v>0.27168531705662935</v>
      </c>
      <c r="R48" s="14">
        <f>M48/P48</f>
        <v>3.6807289066400402</v>
      </c>
    </row>
    <row r="49" spans="2:20" x14ac:dyDescent="0.25">
      <c r="B49" s="1" t="s">
        <v>25</v>
      </c>
      <c r="C49" s="1">
        <v>6</v>
      </c>
      <c r="D49" s="2">
        <v>2.7</v>
      </c>
      <c r="E49" s="13">
        <v>0.9</v>
      </c>
      <c r="F49" s="2">
        <v>0.06</v>
      </c>
      <c r="G49" s="2">
        <v>0.5</v>
      </c>
      <c r="H49" s="13">
        <v>0.22</v>
      </c>
      <c r="I49" s="13">
        <v>0.1</v>
      </c>
      <c r="J49" s="2">
        <v>0</v>
      </c>
      <c r="K49" s="25">
        <f t="shared" si="5"/>
        <v>1.78</v>
      </c>
      <c r="L49" s="13">
        <f t="shared" si="6"/>
        <v>17.980000000000004</v>
      </c>
      <c r="M49" s="21">
        <v>37.99</v>
      </c>
      <c r="N49" s="13">
        <f>(M49-4)*0.8</f>
        <v>27.192000000000004</v>
      </c>
      <c r="O49" s="24">
        <f>(N49-J49-I49-H49-G49-F49-E49)/C49</f>
        <v>4.2353333333333341</v>
      </c>
      <c r="P49" s="15">
        <f>N49-L49</f>
        <v>9.2119999999999997</v>
      </c>
      <c r="Q49" s="16">
        <f>(P49/M49)</f>
        <v>0.24248486443800998</v>
      </c>
      <c r="R49" s="14">
        <f>M49/P49</f>
        <v>4.1239687364307427</v>
      </c>
    </row>
    <row r="50" spans="2:20" x14ac:dyDescent="0.25">
      <c r="B50" s="9" t="s">
        <v>0</v>
      </c>
      <c r="C50" s="9" t="s">
        <v>1</v>
      </c>
      <c r="D50" s="9" t="s">
        <v>23</v>
      </c>
      <c r="E50" s="9" t="s">
        <v>2</v>
      </c>
      <c r="F50" s="9" t="s">
        <v>14</v>
      </c>
      <c r="G50" s="9" t="s">
        <v>3</v>
      </c>
      <c r="H50" s="9" t="s">
        <v>13</v>
      </c>
      <c r="I50" s="9" t="s">
        <v>19</v>
      </c>
      <c r="J50" s="9" t="s">
        <v>18</v>
      </c>
      <c r="K50" s="9" t="s">
        <v>31</v>
      </c>
      <c r="L50" s="9" t="s">
        <v>15</v>
      </c>
      <c r="M50" s="10" t="s">
        <v>16</v>
      </c>
      <c r="N50" s="9" t="s">
        <v>20</v>
      </c>
      <c r="O50" s="9" t="s">
        <v>29</v>
      </c>
      <c r="P50" s="9" t="s">
        <v>22</v>
      </c>
      <c r="Q50" s="11" t="s">
        <v>21</v>
      </c>
      <c r="R50" s="9" t="s">
        <v>17</v>
      </c>
    </row>
    <row r="51" spans="2:20" x14ac:dyDescent="0.25">
      <c r="B51" s="1" t="s">
        <v>27</v>
      </c>
      <c r="C51" s="1">
        <v>1</v>
      </c>
      <c r="D51" s="2">
        <v>15.5</v>
      </c>
      <c r="E51" s="13">
        <v>0.4</v>
      </c>
      <c r="F51" s="2">
        <v>0.05</v>
      </c>
      <c r="G51" s="2">
        <v>0.5</v>
      </c>
      <c r="H51" s="13">
        <v>0.22</v>
      </c>
      <c r="I51" s="13">
        <v>0.1</v>
      </c>
      <c r="J51" s="2">
        <v>0</v>
      </c>
      <c r="K51" s="25">
        <f t="shared" si="5"/>
        <v>1.27</v>
      </c>
      <c r="L51" s="13">
        <f t="shared" si="6"/>
        <v>16.77</v>
      </c>
      <c r="M51" s="21">
        <v>34.619999999999997</v>
      </c>
      <c r="N51" s="13">
        <f>(M51-4)*0.8</f>
        <v>24.495999999999999</v>
      </c>
      <c r="O51" s="24">
        <f>(N51-J51-I51-H51-G51-F51-E51)/C51</f>
        <v>23.225999999999999</v>
      </c>
      <c r="P51" s="15">
        <f>N51-L51</f>
        <v>7.7259999999999991</v>
      </c>
      <c r="Q51" s="16">
        <f>(P51/M51)</f>
        <v>0.22316580011554013</v>
      </c>
      <c r="R51" s="14">
        <f>M51/P51</f>
        <v>4.4809733367848823</v>
      </c>
    </row>
    <row r="52" spans="2:20" x14ac:dyDescent="0.25">
      <c r="B52" s="1" t="s">
        <v>27</v>
      </c>
      <c r="C52" s="1">
        <v>2</v>
      </c>
      <c r="D52" s="2">
        <v>15.5</v>
      </c>
      <c r="E52" s="13">
        <v>0.4</v>
      </c>
      <c r="F52" s="2">
        <v>0.05</v>
      </c>
      <c r="G52" s="2">
        <v>0.5</v>
      </c>
      <c r="H52" s="13">
        <v>0.22</v>
      </c>
      <c r="I52" s="13">
        <v>0.1</v>
      </c>
      <c r="J52" s="2">
        <v>0</v>
      </c>
      <c r="K52" s="25">
        <f t="shared" si="5"/>
        <v>1.27</v>
      </c>
      <c r="L52" s="13">
        <f t="shared" si="6"/>
        <v>32.270000000000003</v>
      </c>
      <c r="M52" s="21">
        <v>62.99</v>
      </c>
      <c r="N52" s="13">
        <f>(M52-4)*0.8</f>
        <v>47.192000000000007</v>
      </c>
      <c r="O52" s="24">
        <f>(N52-J52-I52-H52-G52-F52-E52)/C52</f>
        <v>22.961000000000006</v>
      </c>
      <c r="P52" s="15">
        <f>N52-L52</f>
        <v>14.922000000000004</v>
      </c>
      <c r="Q52" s="16">
        <f>(P52/M52)</f>
        <v>0.23689474519765047</v>
      </c>
      <c r="R52" s="14">
        <f>M52/P52</f>
        <v>4.2212840101863014</v>
      </c>
    </row>
    <row r="53" spans="2:20" x14ac:dyDescent="0.25">
      <c r="B53" s="9" t="s">
        <v>0</v>
      </c>
      <c r="C53" s="9" t="s">
        <v>1</v>
      </c>
      <c r="D53" s="9" t="s">
        <v>23</v>
      </c>
      <c r="E53" s="9" t="s">
        <v>2</v>
      </c>
      <c r="F53" s="9" t="s">
        <v>14</v>
      </c>
      <c r="G53" s="9" t="s">
        <v>3</v>
      </c>
      <c r="H53" s="9" t="s">
        <v>13</v>
      </c>
      <c r="I53" s="9" t="s">
        <v>19</v>
      </c>
      <c r="J53" s="9" t="s">
        <v>18</v>
      </c>
      <c r="K53" s="9" t="s">
        <v>31</v>
      </c>
      <c r="L53" s="9" t="s">
        <v>15</v>
      </c>
      <c r="M53" s="10" t="s">
        <v>16</v>
      </c>
      <c r="N53" s="9" t="s">
        <v>20</v>
      </c>
      <c r="O53" s="9" t="s">
        <v>29</v>
      </c>
      <c r="P53" s="9" t="s">
        <v>22</v>
      </c>
      <c r="Q53" s="11" t="s">
        <v>21</v>
      </c>
      <c r="R53" s="9" t="s">
        <v>17</v>
      </c>
    </row>
    <row r="54" spans="2:20" x14ac:dyDescent="0.25">
      <c r="B54" s="1" t="s">
        <v>33</v>
      </c>
      <c r="C54" s="1">
        <v>1</v>
      </c>
      <c r="D54" s="2">
        <v>68</v>
      </c>
      <c r="E54" s="13">
        <v>0</v>
      </c>
      <c r="F54" s="2">
        <v>0.05</v>
      </c>
      <c r="G54" s="2">
        <v>0.5</v>
      </c>
      <c r="H54" s="13">
        <v>0.22</v>
      </c>
      <c r="I54" s="13">
        <v>0.1</v>
      </c>
      <c r="J54" s="2">
        <v>0</v>
      </c>
      <c r="K54" s="25">
        <f t="shared" ref="K54" si="58">E54+F54+G54+H54+I54+J54</f>
        <v>0.87</v>
      </c>
      <c r="L54" s="13">
        <f t="shared" ref="L54" si="59">(D54*C54)+K54</f>
        <v>68.87</v>
      </c>
      <c r="M54" s="21">
        <v>114.89</v>
      </c>
      <c r="N54" s="13">
        <f t="shared" ref="N54" si="60">(M54-4)*0.8</f>
        <v>88.712000000000003</v>
      </c>
      <c r="O54" s="24">
        <f t="shared" ref="O54" si="61">(N54-J54-I54-H54-G54-F54-E54)/C54</f>
        <v>87.842000000000013</v>
      </c>
      <c r="P54" s="15">
        <f t="shared" ref="P54" si="62">N54-L54</f>
        <v>19.841999999999999</v>
      </c>
      <c r="Q54" s="16">
        <f t="shared" ref="Q54" si="63">(P54/M54)</f>
        <v>0.17270432587692575</v>
      </c>
      <c r="R54" s="14">
        <f t="shared" ref="R54" si="64">M54/P54</f>
        <v>5.7902429190605789</v>
      </c>
    </row>
    <row r="55" spans="2:20" x14ac:dyDescent="0.25">
      <c r="B55" s="9" t="s">
        <v>0</v>
      </c>
      <c r="C55" s="9" t="s">
        <v>1</v>
      </c>
      <c r="D55" s="9" t="s">
        <v>23</v>
      </c>
      <c r="E55" s="9" t="s">
        <v>2</v>
      </c>
      <c r="F55" s="9" t="s">
        <v>14</v>
      </c>
      <c r="G55" s="9" t="s">
        <v>3</v>
      </c>
      <c r="H55" s="9" t="s">
        <v>13</v>
      </c>
      <c r="I55" s="9" t="s">
        <v>19</v>
      </c>
      <c r="J55" s="9" t="s">
        <v>18</v>
      </c>
      <c r="K55" s="9" t="s">
        <v>31</v>
      </c>
      <c r="L55" s="9" t="s">
        <v>15</v>
      </c>
      <c r="M55" s="10" t="s">
        <v>16</v>
      </c>
      <c r="N55" s="9" t="s">
        <v>20</v>
      </c>
      <c r="O55" s="9" t="s">
        <v>29</v>
      </c>
      <c r="P55" s="9" t="s">
        <v>22</v>
      </c>
      <c r="Q55" s="11" t="s">
        <v>21</v>
      </c>
      <c r="R55" s="9" t="s">
        <v>17</v>
      </c>
    </row>
    <row r="56" spans="2:20" x14ac:dyDescent="0.25">
      <c r="B56" s="1" t="s">
        <v>35</v>
      </c>
      <c r="C56" s="1">
        <v>50</v>
      </c>
      <c r="D56" s="33">
        <v>0.04</v>
      </c>
      <c r="E56" s="13">
        <v>0.2</v>
      </c>
      <c r="F56" s="2">
        <v>0.05</v>
      </c>
      <c r="G56" s="2">
        <v>0.5</v>
      </c>
      <c r="H56" s="13">
        <v>0.22</v>
      </c>
      <c r="I56" s="13">
        <v>0.1</v>
      </c>
      <c r="J56" s="2">
        <v>0</v>
      </c>
      <c r="K56" s="25">
        <f t="shared" ref="K56" si="65">E56+F56+G56+H56+I56+J56</f>
        <v>1.07</v>
      </c>
      <c r="L56" s="13">
        <f t="shared" ref="L56" si="66">(D56*C56)+K56</f>
        <v>3.0700000000000003</v>
      </c>
      <c r="M56" s="21">
        <v>16.989999999999998</v>
      </c>
      <c r="N56" s="13">
        <f t="shared" ref="N56" si="67">(M56-4)*0.8</f>
        <v>10.391999999999999</v>
      </c>
      <c r="O56" s="24">
        <f t="shared" ref="O56" si="68">(N56-J56-I56-H56-G56-F56-E56)/C56</f>
        <v>0.18643999999999999</v>
      </c>
      <c r="P56" s="15">
        <f t="shared" ref="P56" si="69">N56-L56</f>
        <v>7.3219999999999992</v>
      </c>
      <c r="Q56" s="16">
        <f t="shared" ref="Q56" si="70">(P56/M56)</f>
        <v>0.4309593878752207</v>
      </c>
      <c r="R56" s="14">
        <f t="shared" ref="R56" si="71">M56/P56</f>
        <v>2.3204042611308386</v>
      </c>
    </row>
    <row r="57" spans="2:20" x14ac:dyDescent="0.25">
      <c r="B57" s="1" t="s">
        <v>35</v>
      </c>
      <c r="C57" s="1">
        <v>100</v>
      </c>
      <c r="D57" s="33">
        <v>0.04</v>
      </c>
      <c r="E57" s="13">
        <v>0.2</v>
      </c>
      <c r="F57" s="2">
        <v>0.05</v>
      </c>
      <c r="G57" s="2">
        <v>0.5</v>
      </c>
      <c r="H57" s="13">
        <v>0.22</v>
      </c>
      <c r="I57" s="13">
        <v>0.1</v>
      </c>
      <c r="J57" s="2">
        <v>0</v>
      </c>
      <c r="K57" s="25">
        <f t="shared" ref="K57:K58" si="72">E57+F57+G57+H57+I57+J57</f>
        <v>1.07</v>
      </c>
      <c r="L57" s="13">
        <f t="shared" ref="L57:L58" si="73">(D57*C57)+K57</f>
        <v>5.07</v>
      </c>
      <c r="M57" s="21">
        <v>19.59</v>
      </c>
      <c r="N57" s="13">
        <f t="shared" ref="N57:N58" si="74">(M57-4)*0.8</f>
        <v>12.472000000000001</v>
      </c>
      <c r="O57" s="24">
        <f t="shared" ref="O57" si="75">(N57-J57-I57-H57-G57-F57-E57)/C57</f>
        <v>0.11402000000000001</v>
      </c>
      <c r="P57" s="15">
        <f t="shared" ref="P57:P58" si="76">N57-L57</f>
        <v>7.402000000000001</v>
      </c>
      <c r="Q57" s="16">
        <f t="shared" ref="Q57:Q58" si="77">(P57/M57)</f>
        <v>0.37784583971413993</v>
      </c>
      <c r="R57" s="14">
        <f t="shared" ref="R57:R58" si="78">M57/P57</f>
        <v>2.64658200486355</v>
      </c>
    </row>
    <row r="58" spans="2:20" x14ac:dyDescent="0.25">
      <c r="B58" s="1" t="s">
        <v>35</v>
      </c>
      <c r="C58" s="1">
        <v>150</v>
      </c>
      <c r="D58" s="33">
        <v>0.04</v>
      </c>
      <c r="E58" s="13">
        <v>0.2</v>
      </c>
      <c r="F58" s="2">
        <v>0.05</v>
      </c>
      <c r="G58" s="2">
        <v>0.5</v>
      </c>
      <c r="H58" s="13">
        <v>0.22</v>
      </c>
      <c r="I58" s="13">
        <v>0.1</v>
      </c>
      <c r="J58" s="2">
        <v>0</v>
      </c>
      <c r="K58" s="25">
        <f t="shared" si="72"/>
        <v>1.07</v>
      </c>
      <c r="L58" s="13">
        <f t="shared" si="73"/>
        <v>7.07</v>
      </c>
      <c r="M58" s="21">
        <v>23.48</v>
      </c>
      <c r="N58" s="13">
        <f t="shared" si="74"/>
        <v>15.584000000000001</v>
      </c>
      <c r="O58" s="24">
        <f>(N58-J58-I58-H58-G58-F58-E58)/C58</f>
        <v>9.6760000000000013E-2</v>
      </c>
      <c r="P58" s="15">
        <f t="shared" si="76"/>
        <v>8.5140000000000011</v>
      </c>
      <c r="Q58" s="16">
        <f t="shared" si="77"/>
        <v>0.36260647359454862</v>
      </c>
      <c r="R58" s="14">
        <f t="shared" si="78"/>
        <v>2.7578106647874088</v>
      </c>
      <c r="T58" s="5"/>
    </row>
    <row r="59" spans="2:20" x14ac:dyDescent="0.25">
      <c r="B59" s="1" t="s">
        <v>35</v>
      </c>
      <c r="C59" s="1">
        <v>200</v>
      </c>
      <c r="D59" s="33">
        <v>0.04</v>
      </c>
      <c r="E59" s="13">
        <v>0.2</v>
      </c>
      <c r="F59" s="2">
        <v>0.05</v>
      </c>
      <c r="G59" s="2">
        <v>0.5</v>
      </c>
      <c r="H59" s="13">
        <v>0.22</v>
      </c>
      <c r="I59" s="13">
        <v>0.1</v>
      </c>
      <c r="J59" s="2">
        <v>0</v>
      </c>
      <c r="K59" s="25">
        <f t="shared" ref="K59" si="79">E59+F59+G59+H59+I59+J59</f>
        <v>1.07</v>
      </c>
      <c r="L59" s="13">
        <f t="shared" ref="L59" si="80">(D59*C59)+K59</f>
        <v>9.07</v>
      </c>
      <c r="M59" s="34">
        <v>26.98</v>
      </c>
      <c r="N59" s="13">
        <f t="shared" ref="N59" si="81">(M59-4)*0.8</f>
        <v>18.384</v>
      </c>
      <c r="O59" s="24">
        <f t="shared" ref="O59" si="82">(N59-J59-I59-H59-G59-F59-E59)/C59</f>
        <v>8.6569999999999994E-2</v>
      </c>
      <c r="P59" s="15">
        <f t="shared" ref="P59" si="83">N59-L59</f>
        <v>9.3140000000000001</v>
      </c>
      <c r="Q59" s="16">
        <f t="shared" ref="Q59" si="84">(P59/M59)</f>
        <v>0.34521868050407711</v>
      </c>
      <c r="R59" s="14">
        <f t="shared" ref="R59" si="85">M59/P59</f>
        <v>2.8967146231479495</v>
      </c>
    </row>
    <row r="60" spans="2:20" x14ac:dyDescent="0.25">
      <c r="B60" s="1" t="s">
        <v>35</v>
      </c>
      <c r="C60" s="1">
        <v>250</v>
      </c>
      <c r="D60" s="33">
        <v>0.04</v>
      </c>
      <c r="E60" s="13">
        <v>0.2</v>
      </c>
      <c r="F60" s="2">
        <v>0.05</v>
      </c>
      <c r="G60" s="2">
        <v>0.5</v>
      </c>
      <c r="H60" s="13">
        <v>0.22</v>
      </c>
      <c r="I60" s="13">
        <v>0.1</v>
      </c>
      <c r="J60" s="2">
        <v>0</v>
      </c>
      <c r="K60" s="25">
        <f t="shared" ref="K60:K61" si="86">E60+F60+G60+H60+I60+J60</f>
        <v>1.07</v>
      </c>
      <c r="L60" s="13">
        <f t="shared" ref="L60:L61" si="87">(D60*C60)+K60</f>
        <v>11.07</v>
      </c>
      <c r="M60" s="34">
        <v>30.98</v>
      </c>
      <c r="N60" s="13">
        <f t="shared" ref="N60:N61" si="88">(M60-4)*0.8</f>
        <v>21.584000000000003</v>
      </c>
      <c r="O60" s="24">
        <f t="shared" ref="O60:O61" si="89">(N60-J60-I60-H60-G60-F60-E60)/C60</f>
        <v>8.2056000000000018E-2</v>
      </c>
      <c r="P60" s="15">
        <f t="shared" ref="P60:P61" si="90">N60-L60</f>
        <v>10.514000000000003</v>
      </c>
      <c r="Q60" s="16">
        <f t="shared" ref="Q60:Q61" si="91">(P60/M60)</f>
        <v>0.33938024531956107</v>
      </c>
      <c r="R60" s="14">
        <f t="shared" ref="R60:R61" si="92">M60/P60</f>
        <v>2.946547460528818</v>
      </c>
    </row>
    <row r="61" spans="2:20" x14ac:dyDescent="0.25">
      <c r="B61" s="1" t="s">
        <v>35</v>
      </c>
      <c r="C61" s="1">
        <v>300</v>
      </c>
      <c r="D61" s="33">
        <v>0.04</v>
      </c>
      <c r="E61" s="13">
        <v>0.2</v>
      </c>
      <c r="F61" s="2">
        <v>0.05</v>
      </c>
      <c r="G61" s="2">
        <v>0.5</v>
      </c>
      <c r="H61" s="13">
        <v>0.22</v>
      </c>
      <c r="I61" s="13">
        <v>0.1</v>
      </c>
      <c r="J61" s="2">
        <v>0</v>
      </c>
      <c r="K61" s="25">
        <f t="shared" si="86"/>
        <v>1.07</v>
      </c>
      <c r="L61" s="13">
        <f t="shared" si="87"/>
        <v>13.07</v>
      </c>
      <c r="M61" s="34">
        <v>34.58</v>
      </c>
      <c r="N61" s="13">
        <f t="shared" si="88"/>
        <v>24.463999999999999</v>
      </c>
      <c r="O61" s="24">
        <f t="shared" si="89"/>
        <v>7.7979999999999994E-2</v>
      </c>
      <c r="P61" s="15">
        <f t="shared" si="90"/>
        <v>11.393999999999998</v>
      </c>
      <c r="Q61" s="16">
        <f t="shared" si="91"/>
        <v>0.32949681897050315</v>
      </c>
      <c r="R61" s="14">
        <f t="shared" si="92"/>
        <v>3.0349306652624191</v>
      </c>
    </row>
    <row r="62" spans="2:20" x14ac:dyDescent="0.25">
      <c r="B62" s="1" t="s">
        <v>35</v>
      </c>
      <c r="C62" s="1">
        <v>350</v>
      </c>
      <c r="D62" s="33">
        <v>0.04</v>
      </c>
      <c r="E62" s="13">
        <v>0.2</v>
      </c>
      <c r="F62" s="2">
        <v>0.05</v>
      </c>
      <c r="G62" s="2">
        <v>0.5</v>
      </c>
      <c r="H62" s="13">
        <v>0.22</v>
      </c>
      <c r="I62" s="13">
        <v>0.1</v>
      </c>
      <c r="J62" s="2">
        <v>0</v>
      </c>
      <c r="K62" s="25">
        <f t="shared" ref="K62:K64" si="93">E62+F62+G62+H62+I62+J62</f>
        <v>1.07</v>
      </c>
      <c r="L62" s="13">
        <f t="shared" ref="L62:L64" si="94">(D62*C62)+K62</f>
        <v>15.07</v>
      </c>
      <c r="M62" s="34">
        <v>39.479999999999997</v>
      </c>
      <c r="N62" s="13">
        <f t="shared" ref="N62:N64" si="95">(M62-4)*0.8</f>
        <v>28.384</v>
      </c>
      <c r="O62" s="24">
        <f t="shared" ref="O62:O64" si="96">(N62-J62-I62-H62-G62-F62-E62)/C62</f>
        <v>7.8039999999999998E-2</v>
      </c>
      <c r="P62" s="15">
        <f t="shared" ref="P62:P64" si="97">N62-L62</f>
        <v>13.314</v>
      </c>
      <c r="Q62" s="16">
        <f t="shared" ref="Q62:Q64" si="98">(P62/M62)</f>
        <v>0.3372340425531915</v>
      </c>
      <c r="R62" s="14">
        <f t="shared" ref="R62:R64" si="99">M62/P62</f>
        <v>2.9652996845425865</v>
      </c>
    </row>
    <row r="63" spans="2:20" x14ac:dyDescent="0.25">
      <c r="B63" s="1" t="s">
        <v>35</v>
      </c>
      <c r="C63" s="1">
        <v>400</v>
      </c>
      <c r="D63" s="33">
        <v>0.04</v>
      </c>
      <c r="E63" s="13">
        <v>0.2</v>
      </c>
      <c r="F63" s="2">
        <v>0.05</v>
      </c>
      <c r="G63" s="2">
        <v>0.5</v>
      </c>
      <c r="H63" s="13">
        <v>0.22</v>
      </c>
      <c r="I63" s="13">
        <v>0.1</v>
      </c>
      <c r="J63" s="2">
        <v>0</v>
      </c>
      <c r="K63" s="25">
        <f t="shared" si="93"/>
        <v>1.07</v>
      </c>
      <c r="L63" s="13">
        <f t="shared" si="94"/>
        <v>17.07</v>
      </c>
      <c r="M63" s="34">
        <v>46.99</v>
      </c>
      <c r="N63" s="13">
        <f t="shared" si="95"/>
        <v>34.392000000000003</v>
      </c>
      <c r="O63" s="24">
        <f t="shared" si="96"/>
        <v>8.3305000000000004E-2</v>
      </c>
      <c r="P63" s="15">
        <f t="shared" si="97"/>
        <v>17.322000000000003</v>
      </c>
      <c r="Q63" s="16">
        <f t="shared" si="98"/>
        <v>0.36863162374973402</v>
      </c>
      <c r="R63" s="14">
        <f t="shared" si="99"/>
        <v>2.7127352499711348</v>
      </c>
    </row>
    <row r="64" spans="2:20" x14ac:dyDescent="0.25">
      <c r="B64" s="1" t="s">
        <v>35</v>
      </c>
      <c r="C64" s="1">
        <v>450</v>
      </c>
      <c r="D64" s="33">
        <v>0.04</v>
      </c>
      <c r="E64" s="13">
        <v>0.2</v>
      </c>
      <c r="F64" s="2">
        <v>0.05</v>
      </c>
      <c r="G64" s="2">
        <v>0.5</v>
      </c>
      <c r="H64" s="13">
        <v>0.22</v>
      </c>
      <c r="I64" s="13">
        <v>0.1</v>
      </c>
      <c r="J64" s="2">
        <v>0</v>
      </c>
      <c r="K64" s="25">
        <f t="shared" si="93"/>
        <v>1.07</v>
      </c>
      <c r="L64" s="13">
        <f t="shared" si="94"/>
        <v>19.07</v>
      </c>
      <c r="M64" s="34">
        <v>48.99</v>
      </c>
      <c r="N64" s="13">
        <f t="shared" si="95"/>
        <v>35.992000000000004</v>
      </c>
      <c r="O64" s="24">
        <f t="shared" si="96"/>
        <v>7.7604444444444448E-2</v>
      </c>
      <c r="P64" s="15">
        <f t="shared" si="97"/>
        <v>16.922000000000004</v>
      </c>
      <c r="Q64" s="16">
        <f t="shared" si="98"/>
        <v>0.345417432129006</v>
      </c>
      <c r="R64" s="14">
        <f t="shared" si="99"/>
        <v>2.8950478666824249</v>
      </c>
    </row>
    <row r="65" spans="2:18" x14ac:dyDescent="0.25">
      <c r="B65" s="1" t="s">
        <v>35</v>
      </c>
      <c r="C65" s="1">
        <v>500</v>
      </c>
      <c r="D65" s="33">
        <v>0.04</v>
      </c>
      <c r="E65" s="13">
        <v>0.2</v>
      </c>
      <c r="F65" s="2">
        <v>0.05</v>
      </c>
      <c r="G65" s="2">
        <v>0.5</v>
      </c>
      <c r="H65" s="13">
        <v>0.22</v>
      </c>
      <c r="I65" s="13">
        <v>0.1</v>
      </c>
      <c r="J65" s="2">
        <v>0</v>
      </c>
      <c r="K65" s="25">
        <f t="shared" ref="K65" si="100">E65+F65+G65+H65+I65+J65</f>
        <v>1.07</v>
      </c>
      <c r="L65" s="13">
        <f t="shared" ref="L65" si="101">(D65*C65)+K65</f>
        <v>21.07</v>
      </c>
      <c r="M65" s="34">
        <v>52.49</v>
      </c>
      <c r="N65" s="13">
        <f t="shared" ref="N65" si="102">(M65-4)*0.8</f>
        <v>38.792000000000002</v>
      </c>
      <c r="O65" s="24">
        <f t="shared" ref="O65" si="103">(N65-J65-I65-H65-G65-F65-E65)/C65</f>
        <v>7.5443999999999997E-2</v>
      </c>
      <c r="P65" s="15">
        <f t="shared" ref="P65" si="104">N65-L65</f>
        <v>17.722000000000001</v>
      </c>
      <c r="Q65" s="16">
        <f t="shared" ref="Q65" si="105">(P65/M65)</f>
        <v>0.33762621451705088</v>
      </c>
      <c r="R65" s="14">
        <f t="shared" ref="R65" si="106">M65/P65</f>
        <v>2.9618553210698564</v>
      </c>
    </row>
    <row r="66" spans="2:18" x14ac:dyDescent="0.25">
      <c r="B66" s="9" t="s">
        <v>0</v>
      </c>
      <c r="C66" s="9" t="s">
        <v>1</v>
      </c>
      <c r="D66" s="9" t="s">
        <v>23</v>
      </c>
      <c r="E66" s="9" t="s">
        <v>2</v>
      </c>
      <c r="F66" s="9" t="s">
        <v>14</v>
      </c>
      <c r="G66" s="9" t="s">
        <v>3</v>
      </c>
      <c r="H66" s="9" t="s">
        <v>13</v>
      </c>
      <c r="I66" s="9" t="s">
        <v>19</v>
      </c>
      <c r="J66" s="9" t="s">
        <v>18</v>
      </c>
      <c r="K66" s="9" t="s">
        <v>31</v>
      </c>
      <c r="L66" s="9" t="s">
        <v>15</v>
      </c>
      <c r="M66" s="10" t="s">
        <v>16</v>
      </c>
      <c r="N66" s="9" t="s">
        <v>20</v>
      </c>
      <c r="O66" s="9" t="s">
        <v>29</v>
      </c>
      <c r="P66" s="9" t="s">
        <v>22</v>
      </c>
      <c r="Q66" s="11" t="s">
        <v>21</v>
      </c>
      <c r="R66" s="9" t="s">
        <v>17</v>
      </c>
    </row>
    <row r="67" spans="2:18" x14ac:dyDescent="0.25">
      <c r="B67" s="1" t="s">
        <v>37</v>
      </c>
      <c r="C67" s="1">
        <v>3</v>
      </c>
      <c r="D67" s="2">
        <v>2.65</v>
      </c>
      <c r="E67" s="2">
        <v>0.74</v>
      </c>
      <c r="F67" s="2">
        <v>0.05</v>
      </c>
      <c r="G67" s="2">
        <v>1</v>
      </c>
      <c r="H67" s="13">
        <v>0.22</v>
      </c>
      <c r="I67" s="13">
        <v>0.1</v>
      </c>
      <c r="J67" s="2">
        <v>0</v>
      </c>
      <c r="K67" s="25">
        <f t="shared" ref="K67:K70" si="107">E67+F67+G67+H67+I67+J67</f>
        <v>2.1100000000000003</v>
      </c>
      <c r="L67" s="13">
        <f>(D67*C67)+K67+2.64</f>
        <v>12.7</v>
      </c>
      <c r="M67" s="30">
        <v>25.71</v>
      </c>
      <c r="N67" s="13">
        <f t="shared" ref="N67:N70" si="108">(M67-4)*0.8</f>
        <v>17.368000000000002</v>
      </c>
      <c r="O67" s="24">
        <f t="shared" ref="O67:O70" si="109">(N67-J67-I67-H67-G67-F67-E67)/C67</f>
        <v>5.0860000000000003</v>
      </c>
      <c r="P67" s="15">
        <f t="shared" ref="P67:P70" si="110">N67-L67</f>
        <v>4.6680000000000028</v>
      </c>
      <c r="Q67" s="16">
        <f t="shared" ref="Q67:Q70" si="111">(P67/M67)</f>
        <v>0.18156359393232216</v>
      </c>
      <c r="R67" s="14">
        <f t="shared" ref="R67:R72" si="112">M67/P67</f>
        <v>5.5077120822622074</v>
      </c>
    </row>
    <row r="68" spans="2:18" x14ac:dyDescent="0.25">
      <c r="B68" s="1" t="s">
        <v>37</v>
      </c>
      <c r="C68" s="1">
        <v>5</v>
      </c>
      <c r="D68" s="2">
        <v>2.65</v>
      </c>
      <c r="E68" s="2">
        <v>0.74</v>
      </c>
      <c r="F68" s="2">
        <v>0.05</v>
      </c>
      <c r="G68" s="2">
        <v>1</v>
      </c>
      <c r="H68" s="13">
        <v>0.22</v>
      </c>
      <c r="I68" s="13">
        <v>0.1</v>
      </c>
      <c r="J68" s="2">
        <v>0</v>
      </c>
      <c r="K68" s="25">
        <f t="shared" si="107"/>
        <v>2.1100000000000003</v>
      </c>
      <c r="L68" s="13">
        <f t="shared" ref="L68:L69" si="113">(D68*C68)+K68+2.64</f>
        <v>18</v>
      </c>
      <c r="M68" s="21">
        <v>35.19</v>
      </c>
      <c r="N68" s="13">
        <f t="shared" si="108"/>
        <v>24.951999999999998</v>
      </c>
      <c r="O68" s="24">
        <f t="shared" si="109"/>
        <v>4.5683999999999996</v>
      </c>
      <c r="P68" s="15">
        <f t="shared" si="110"/>
        <v>6.9519999999999982</v>
      </c>
      <c r="Q68" s="16">
        <f t="shared" si="111"/>
        <v>0.19755612389883487</v>
      </c>
      <c r="R68" s="14">
        <f t="shared" si="112"/>
        <v>5.0618527042577686</v>
      </c>
    </row>
    <row r="69" spans="2:18" x14ac:dyDescent="0.25">
      <c r="B69" s="1" t="s">
        <v>37</v>
      </c>
      <c r="C69" s="1">
        <v>6</v>
      </c>
      <c r="D69" s="2">
        <v>2.65</v>
      </c>
      <c r="E69" s="2">
        <v>0.74</v>
      </c>
      <c r="F69" s="2">
        <v>0.05</v>
      </c>
      <c r="G69" s="2">
        <v>1</v>
      </c>
      <c r="H69" s="13">
        <v>0.22</v>
      </c>
      <c r="I69" s="13">
        <v>0.1</v>
      </c>
      <c r="J69" s="2">
        <v>0</v>
      </c>
      <c r="K69" s="25">
        <f t="shared" si="107"/>
        <v>2.1100000000000003</v>
      </c>
      <c r="L69" s="13">
        <f t="shared" si="113"/>
        <v>20.65</v>
      </c>
      <c r="M69" s="21">
        <v>37.86</v>
      </c>
      <c r="N69" s="13">
        <f t="shared" si="108"/>
        <v>27.088000000000001</v>
      </c>
      <c r="O69" s="24">
        <f t="shared" si="109"/>
        <v>4.1630000000000003</v>
      </c>
      <c r="P69" s="15">
        <f t="shared" si="110"/>
        <v>6.4380000000000024</v>
      </c>
      <c r="Q69" s="16">
        <f t="shared" si="111"/>
        <v>0.17004754358161656</v>
      </c>
      <c r="R69" s="14">
        <f t="shared" si="112"/>
        <v>5.880708294501396</v>
      </c>
    </row>
    <row r="70" spans="2:18" x14ac:dyDescent="0.25">
      <c r="B70" s="1" t="s">
        <v>37</v>
      </c>
      <c r="C70" s="1">
        <v>8</v>
      </c>
      <c r="D70" s="2">
        <v>2.65</v>
      </c>
      <c r="E70" s="2">
        <v>0.74</v>
      </c>
      <c r="F70" s="2">
        <v>0.05</v>
      </c>
      <c r="G70" s="2">
        <v>1</v>
      </c>
      <c r="H70" s="13">
        <v>0.22</v>
      </c>
      <c r="I70" s="13">
        <v>0.1</v>
      </c>
      <c r="J70" s="2">
        <v>0</v>
      </c>
      <c r="K70" s="25">
        <f t="shared" si="107"/>
        <v>2.1100000000000003</v>
      </c>
      <c r="L70" s="13">
        <f>(D70*C70)+K70+2.64</f>
        <v>25.95</v>
      </c>
      <c r="M70" s="21">
        <v>46.05</v>
      </c>
      <c r="N70" s="13">
        <f t="shared" si="108"/>
        <v>33.64</v>
      </c>
      <c r="O70" s="24">
        <f t="shared" si="109"/>
        <v>3.9412500000000006</v>
      </c>
      <c r="P70" s="15">
        <f t="shared" si="110"/>
        <v>7.6900000000000013</v>
      </c>
      <c r="Q70" s="16">
        <f t="shared" si="111"/>
        <v>0.16699239956568951</v>
      </c>
      <c r="R70" s="14">
        <f t="shared" si="112"/>
        <v>5.9882964889466823</v>
      </c>
    </row>
    <row r="71" spans="2:18" x14ac:dyDescent="0.25">
      <c r="R71" s="14" t="e">
        <f t="shared" si="112"/>
        <v>#DIV/0!</v>
      </c>
    </row>
    <row r="72" spans="2:18" x14ac:dyDescent="0.25">
      <c r="R72" s="14" t="e">
        <f t="shared" si="112"/>
        <v>#DIV/0!</v>
      </c>
    </row>
    <row r="96" spans="24:24" x14ac:dyDescent="0.25">
      <c r="X96" s="5"/>
    </row>
  </sheetData>
  <mergeCells count="1">
    <mergeCell ref="B2:R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C225-0FF8-49A4-8EDD-F367A4885FFC}">
  <dimension ref="B2:P47"/>
  <sheetViews>
    <sheetView workbookViewId="0">
      <selection activeCell="M4" sqref="M4"/>
    </sheetView>
  </sheetViews>
  <sheetFormatPr defaultRowHeight="15" x14ac:dyDescent="0.25"/>
  <cols>
    <col min="2" max="2" width="20.7109375" bestFit="1" customWidth="1"/>
    <col min="3" max="3" width="7.7109375" bestFit="1" customWidth="1"/>
    <col min="4" max="5" width="10.42578125" bestFit="1" customWidth="1"/>
    <col min="6" max="6" width="7.5703125" bestFit="1" customWidth="1"/>
    <col min="7" max="10" width="7" bestFit="1" customWidth="1"/>
    <col min="11" max="11" width="10" bestFit="1" customWidth="1"/>
    <col min="12" max="12" width="14.7109375" bestFit="1" customWidth="1"/>
    <col min="13" max="13" width="14.85546875" bestFit="1" customWidth="1"/>
    <col min="14" max="14" width="10.42578125" bestFit="1" customWidth="1"/>
    <col min="15" max="15" width="10" bestFit="1" customWidth="1"/>
    <col min="16" max="16" width="9.42578125" bestFit="1" customWidth="1"/>
  </cols>
  <sheetData>
    <row r="2" spans="2:16" ht="55.5" x14ac:dyDescent="0.25">
      <c r="B2" s="37" t="s">
        <v>32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2:16" x14ac:dyDescent="0.25">
      <c r="B3" s="9" t="s">
        <v>0</v>
      </c>
      <c r="C3" s="9" t="s">
        <v>1</v>
      </c>
      <c r="D3" s="9" t="s">
        <v>23</v>
      </c>
      <c r="E3" s="9" t="s">
        <v>2</v>
      </c>
      <c r="F3" s="9" t="s">
        <v>14</v>
      </c>
      <c r="G3" s="9" t="s">
        <v>3</v>
      </c>
      <c r="H3" s="9" t="s">
        <v>13</v>
      </c>
      <c r="I3" s="9" t="s">
        <v>19</v>
      </c>
      <c r="J3" s="9" t="s">
        <v>18</v>
      </c>
      <c r="K3" s="9" t="s">
        <v>15</v>
      </c>
      <c r="L3" s="10" t="s">
        <v>16</v>
      </c>
      <c r="M3" s="9" t="s">
        <v>20</v>
      </c>
      <c r="N3" s="9" t="s">
        <v>29</v>
      </c>
      <c r="O3" s="9" t="s">
        <v>22</v>
      </c>
      <c r="P3" s="11" t="s">
        <v>21</v>
      </c>
    </row>
    <row r="4" spans="2:16" x14ac:dyDescent="0.25">
      <c r="B4" s="12" t="s">
        <v>5</v>
      </c>
      <c r="C4" s="12">
        <v>1</v>
      </c>
      <c r="D4" s="13">
        <v>0.85</v>
      </c>
      <c r="E4" s="13">
        <v>0.2</v>
      </c>
      <c r="F4" s="13">
        <v>0.09</v>
      </c>
      <c r="G4" s="13">
        <v>1</v>
      </c>
      <c r="H4" s="13">
        <v>0</v>
      </c>
      <c r="I4" s="13">
        <v>0.1</v>
      </c>
      <c r="J4" s="13">
        <v>0</v>
      </c>
      <c r="K4" s="13">
        <f>(D4*C4)+E4+F4+G4+H14+I4+J4</f>
        <v>2.2400000000000002</v>
      </c>
      <c r="L4" s="27">
        <v>8.9</v>
      </c>
      <c r="M4" s="13">
        <f>L4*(1-16%)</f>
        <v>7.476</v>
      </c>
      <c r="N4" s="24">
        <f>(M4-J4-I4-H4-G4-F4-E4)/C4</f>
        <v>6.0860000000000003</v>
      </c>
      <c r="O4" s="15">
        <f t="shared" ref="O4:O18" si="0">M4-K4</f>
        <v>5.2359999999999998</v>
      </c>
      <c r="P4" s="16">
        <f t="shared" ref="P4:P18" si="1">(O4/L4)</f>
        <v>0.58831460674157299</v>
      </c>
    </row>
    <row r="5" spans="2:16" x14ac:dyDescent="0.25">
      <c r="B5" s="12" t="s">
        <v>5</v>
      </c>
      <c r="C5" s="12">
        <v>5</v>
      </c>
      <c r="D5" s="13">
        <v>0.85</v>
      </c>
      <c r="E5" s="13">
        <v>0.2</v>
      </c>
      <c r="F5" s="13">
        <v>0.09</v>
      </c>
      <c r="G5" s="13">
        <v>1</v>
      </c>
      <c r="H5" s="13">
        <v>0</v>
      </c>
      <c r="I5" s="13">
        <v>0.1</v>
      </c>
      <c r="J5" s="13">
        <v>0</v>
      </c>
      <c r="K5" s="13">
        <f t="shared" ref="K5:K17" si="2">(D5*C5)+E5+F5+G5+H113+I5+J5</f>
        <v>5.64</v>
      </c>
      <c r="L5" s="27">
        <v>15.99</v>
      </c>
      <c r="M5" s="13">
        <f t="shared" ref="M5:M47" si="3">L5*(1-16%)</f>
        <v>13.4316</v>
      </c>
      <c r="N5" s="24">
        <f t="shared" ref="N5:N47" si="4">(M5-J5-I5-H5-G5-F5-E5)/C5</f>
        <v>2.4083200000000002</v>
      </c>
      <c r="O5" s="15">
        <f t="shared" si="0"/>
        <v>7.7915999999999999</v>
      </c>
      <c r="P5" s="16">
        <f t="shared" si="1"/>
        <v>0.48727954971857407</v>
      </c>
    </row>
    <row r="6" spans="2:16" x14ac:dyDescent="0.25">
      <c r="B6" s="12" t="s">
        <v>5</v>
      </c>
      <c r="C6" s="12">
        <v>10</v>
      </c>
      <c r="D6" s="13">
        <v>0.85</v>
      </c>
      <c r="E6" s="13">
        <v>0.2</v>
      </c>
      <c r="F6" s="13">
        <v>0.09</v>
      </c>
      <c r="G6" s="13">
        <v>1</v>
      </c>
      <c r="H6" s="13">
        <v>0</v>
      </c>
      <c r="I6" s="13">
        <v>0.1</v>
      </c>
      <c r="J6" s="13">
        <v>0</v>
      </c>
      <c r="K6" s="13">
        <f t="shared" si="2"/>
        <v>9.8899999999999988</v>
      </c>
      <c r="L6" s="27">
        <v>22.9</v>
      </c>
      <c r="M6" s="13">
        <f t="shared" si="3"/>
        <v>19.235999999999997</v>
      </c>
      <c r="N6" s="24">
        <f t="shared" si="4"/>
        <v>1.7845999999999997</v>
      </c>
      <c r="O6" s="15">
        <f t="shared" si="0"/>
        <v>9.3459999999999983</v>
      </c>
      <c r="P6" s="16">
        <f t="shared" si="1"/>
        <v>0.40812227074235802</v>
      </c>
    </row>
    <row r="7" spans="2:16" x14ac:dyDescent="0.25">
      <c r="B7" s="12" t="s">
        <v>5</v>
      </c>
      <c r="C7" s="12">
        <v>15</v>
      </c>
      <c r="D7" s="13">
        <v>0.85</v>
      </c>
      <c r="E7" s="13">
        <v>0.2</v>
      </c>
      <c r="F7" s="13">
        <v>0.09</v>
      </c>
      <c r="G7" s="13">
        <v>1</v>
      </c>
      <c r="H7" s="13">
        <v>0</v>
      </c>
      <c r="I7" s="13">
        <v>0.1</v>
      </c>
      <c r="J7" s="13">
        <v>0</v>
      </c>
      <c r="K7" s="13">
        <f t="shared" si="2"/>
        <v>14.139999999999999</v>
      </c>
      <c r="L7" s="27">
        <v>28.49</v>
      </c>
      <c r="M7" s="13">
        <f t="shared" si="3"/>
        <v>23.9316</v>
      </c>
      <c r="N7" s="24">
        <f t="shared" si="4"/>
        <v>1.5027733333333333</v>
      </c>
      <c r="O7" s="15">
        <f t="shared" si="0"/>
        <v>9.7916000000000007</v>
      </c>
      <c r="P7" s="16">
        <f t="shared" si="1"/>
        <v>0.34368550368550371</v>
      </c>
    </row>
    <row r="8" spans="2:16" x14ac:dyDescent="0.25">
      <c r="B8" s="12" t="s">
        <v>5</v>
      </c>
      <c r="C8" s="12">
        <v>20</v>
      </c>
      <c r="D8" s="13">
        <v>0.85</v>
      </c>
      <c r="E8" s="13">
        <v>0.2</v>
      </c>
      <c r="F8" s="13">
        <v>0.09</v>
      </c>
      <c r="G8" s="13">
        <v>1</v>
      </c>
      <c r="H8" s="13">
        <v>0</v>
      </c>
      <c r="I8" s="13">
        <v>0.1</v>
      </c>
      <c r="J8" s="13">
        <v>0</v>
      </c>
      <c r="K8" s="13">
        <f t="shared" si="2"/>
        <v>18.39</v>
      </c>
      <c r="L8" s="27">
        <v>34.25</v>
      </c>
      <c r="M8" s="13">
        <f t="shared" si="3"/>
        <v>28.77</v>
      </c>
      <c r="N8" s="24">
        <f t="shared" si="4"/>
        <v>1.369</v>
      </c>
      <c r="O8" s="15">
        <f t="shared" si="0"/>
        <v>10.379999999999999</v>
      </c>
      <c r="P8" s="16">
        <f t="shared" si="1"/>
        <v>0.30306569343065692</v>
      </c>
    </row>
    <row r="9" spans="2:16" x14ac:dyDescent="0.25">
      <c r="B9" s="12" t="s">
        <v>5</v>
      </c>
      <c r="C9" s="12">
        <v>25</v>
      </c>
      <c r="D9" s="13">
        <v>0.85</v>
      </c>
      <c r="E9" s="13">
        <v>0.2</v>
      </c>
      <c r="F9" s="13">
        <v>0.09</v>
      </c>
      <c r="G9" s="13">
        <v>1</v>
      </c>
      <c r="H9" s="13">
        <v>0</v>
      </c>
      <c r="I9" s="13">
        <v>0.1</v>
      </c>
      <c r="J9" s="13">
        <v>0</v>
      </c>
      <c r="K9" s="13">
        <f t="shared" si="2"/>
        <v>22.64</v>
      </c>
      <c r="L9" s="27">
        <v>40.99</v>
      </c>
      <c r="M9" s="13">
        <f t="shared" si="3"/>
        <v>34.431600000000003</v>
      </c>
      <c r="N9" s="24">
        <f t="shared" si="4"/>
        <v>1.3216639999999997</v>
      </c>
      <c r="O9" s="15">
        <f t="shared" si="0"/>
        <v>11.791600000000003</v>
      </c>
      <c r="P9" s="16">
        <f t="shared" si="1"/>
        <v>0.28767016345450114</v>
      </c>
    </row>
    <row r="10" spans="2:16" x14ac:dyDescent="0.25">
      <c r="B10" s="12" t="s">
        <v>5</v>
      </c>
      <c r="C10" s="12">
        <v>30</v>
      </c>
      <c r="D10" s="13">
        <v>0.85</v>
      </c>
      <c r="E10" s="13">
        <v>0.2</v>
      </c>
      <c r="F10" s="13">
        <v>0.09</v>
      </c>
      <c r="G10" s="13">
        <v>1</v>
      </c>
      <c r="H10" s="13">
        <v>0</v>
      </c>
      <c r="I10" s="13">
        <v>0.1</v>
      </c>
      <c r="J10" s="13">
        <v>0</v>
      </c>
      <c r="K10" s="13">
        <f t="shared" si="2"/>
        <v>26.89</v>
      </c>
      <c r="L10" s="27">
        <v>44.9</v>
      </c>
      <c r="M10" s="13">
        <f t="shared" si="3"/>
        <v>37.715999999999994</v>
      </c>
      <c r="N10" s="24">
        <f t="shared" si="4"/>
        <v>1.2108666666666663</v>
      </c>
      <c r="O10" s="15">
        <f t="shared" si="0"/>
        <v>10.825999999999993</v>
      </c>
      <c r="P10" s="16">
        <f t="shared" si="1"/>
        <v>0.24111358574610231</v>
      </c>
    </row>
    <row r="11" spans="2:16" x14ac:dyDescent="0.25">
      <c r="B11" s="12" t="s">
        <v>5</v>
      </c>
      <c r="C11" s="12">
        <v>50</v>
      </c>
      <c r="D11" s="13">
        <v>0.85</v>
      </c>
      <c r="E11" s="13">
        <v>0.35</v>
      </c>
      <c r="F11" s="13">
        <v>0.09</v>
      </c>
      <c r="G11" s="13">
        <v>1</v>
      </c>
      <c r="H11" s="13">
        <v>0</v>
      </c>
      <c r="I11" s="13">
        <v>0.1</v>
      </c>
      <c r="J11" s="13">
        <v>0</v>
      </c>
      <c r="K11" s="13">
        <f t="shared" si="2"/>
        <v>44.040000000000006</v>
      </c>
      <c r="L11" s="27">
        <v>69.489999999999995</v>
      </c>
      <c r="M11" s="13">
        <f t="shared" si="3"/>
        <v>58.371599999999994</v>
      </c>
      <c r="N11" s="24">
        <f t="shared" si="4"/>
        <v>1.1366319999999996</v>
      </c>
      <c r="O11" s="15">
        <f t="shared" si="0"/>
        <v>14.331599999999987</v>
      </c>
      <c r="P11" s="16">
        <f t="shared" si="1"/>
        <v>0.20623974672614748</v>
      </c>
    </row>
    <row r="12" spans="2:16" x14ac:dyDescent="0.25">
      <c r="B12" s="12" t="s">
        <v>5</v>
      </c>
      <c r="C12" s="12">
        <v>60</v>
      </c>
      <c r="D12" s="13">
        <v>0.85</v>
      </c>
      <c r="E12" s="13">
        <v>0.35</v>
      </c>
      <c r="F12" s="13">
        <v>0.09</v>
      </c>
      <c r="G12" s="13">
        <v>1</v>
      </c>
      <c r="H12" s="13">
        <v>0</v>
      </c>
      <c r="I12" s="13">
        <v>0.1</v>
      </c>
      <c r="J12" s="13">
        <v>0</v>
      </c>
      <c r="K12" s="13">
        <f t="shared" si="2"/>
        <v>52.540000000000006</v>
      </c>
      <c r="L12" s="27">
        <v>79.989999999999995</v>
      </c>
      <c r="M12" s="13">
        <f t="shared" si="3"/>
        <v>67.191599999999994</v>
      </c>
      <c r="N12" s="24">
        <f t="shared" si="4"/>
        <v>1.0941933333333334</v>
      </c>
      <c r="O12" s="15">
        <f t="shared" si="0"/>
        <v>14.651599999999988</v>
      </c>
      <c r="P12" s="16">
        <f t="shared" si="1"/>
        <v>0.18316789598699823</v>
      </c>
    </row>
    <row r="13" spans="2:16" x14ac:dyDescent="0.25">
      <c r="B13" s="12" t="s">
        <v>5</v>
      </c>
      <c r="C13" s="12">
        <v>75</v>
      </c>
      <c r="D13" s="13">
        <v>0.85</v>
      </c>
      <c r="E13" s="13">
        <v>0.55000000000000004</v>
      </c>
      <c r="F13" s="13">
        <v>0.09</v>
      </c>
      <c r="G13" s="13">
        <v>1</v>
      </c>
      <c r="H13" s="13">
        <v>0</v>
      </c>
      <c r="I13" s="13">
        <v>0.1</v>
      </c>
      <c r="J13" s="13">
        <v>0</v>
      </c>
      <c r="K13" s="13">
        <f t="shared" si="2"/>
        <v>65.489999999999995</v>
      </c>
      <c r="L13" s="27">
        <v>98.75</v>
      </c>
      <c r="M13" s="13">
        <f t="shared" si="3"/>
        <v>82.95</v>
      </c>
      <c r="N13" s="24">
        <f t="shared" si="4"/>
        <v>1.0828000000000002</v>
      </c>
      <c r="O13" s="15">
        <f t="shared" si="0"/>
        <v>17.460000000000008</v>
      </c>
      <c r="P13" s="16">
        <f t="shared" si="1"/>
        <v>0.17681012658227857</v>
      </c>
    </row>
    <row r="14" spans="2:16" x14ac:dyDescent="0.25">
      <c r="B14" s="12" t="s">
        <v>5</v>
      </c>
      <c r="C14" s="12">
        <v>100</v>
      </c>
      <c r="D14" s="13">
        <v>0.85</v>
      </c>
      <c r="E14" s="13">
        <v>0.55000000000000004</v>
      </c>
      <c r="F14" s="13">
        <v>0.09</v>
      </c>
      <c r="G14" s="13">
        <v>1</v>
      </c>
      <c r="H14" s="13">
        <v>0</v>
      </c>
      <c r="I14" s="13">
        <v>0.1</v>
      </c>
      <c r="J14" s="13">
        <v>0</v>
      </c>
      <c r="K14" s="13">
        <f t="shared" si="2"/>
        <v>86.74</v>
      </c>
      <c r="L14" s="27">
        <v>125.9</v>
      </c>
      <c r="M14" s="13">
        <f t="shared" si="3"/>
        <v>105.756</v>
      </c>
      <c r="N14" s="24">
        <f t="shared" si="4"/>
        <v>1.04016</v>
      </c>
      <c r="O14" s="15">
        <f t="shared" si="0"/>
        <v>19.016000000000005</v>
      </c>
      <c r="P14" s="16">
        <f t="shared" si="1"/>
        <v>0.15104050833995239</v>
      </c>
    </row>
    <row r="15" spans="2:16" x14ac:dyDescent="0.25">
      <c r="B15" s="12" t="s">
        <v>5</v>
      </c>
      <c r="C15" s="12">
        <v>125</v>
      </c>
      <c r="D15" s="13">
        <v>0.85</v>
      </c>
      <c r="E15" s="13">
        <v>0.55000000000000004</v>
      </c>
      <c r="F15" s="13">
        <v>0.09</v>
      </c>
      <c r="G15" s="13">
        <v>1</v>
      </c>
      <c r="H15" s="13">
        <v>0</v>
      </c>
      <c r="I15" s="13">
        <v>0.1</v>
      </c>
      <c r="J15" s="13">
        <v>0</v>
      </c>
      <c r="K15" s="13">
        <f t="shared" si="2"/>
        <v>107.99</v>
      </c>
      <c r="L15" s="27">
        <v>156.9</v>
      </c>
      <c r="M15" s="13">
        <f t="shared" si="3"/>
        <v>131.79599999999999</v>
      </c>
      <c r="N15" s="24">
        <f t="shared" si="4"/>
        <v>1.0404479999999998</v>
      </c>
      <c r="O15" s="15">
        <f t="shared" si="0"/>
        <v>23.805999999999997</v>
      </c>
      <c r="P15" s="16">
        <f t="shared" si="1"/>
        <v>0.15172721478648818</v>
      </c>
    </row>
    <row r="16" spans="2:16" x14ac:dyDescent="0.25">
      <c r="B16" s="12" t="s">
        <v>5</v>
      </c>
      <c r="C16" s="12">
        <v>150</v>
      </c>
      <c r="D16" s="13">
        <v>0.85</v>
      </c>
      <c r="E16" s="13">
        <v>0.6</v>
      </c>
      <c r="F16" s="13">
        <v>0.09</v>
      </c>
      <c r="G16" s="13">
        <v>1</v>
      </c>
      <c r="H16" s="13">
        <v>0</v>
      </c>
      <c r="I16" s="13">
        <v>0.1</v>
      </c>
      <c r="J16" s="13">
        <v>0</v>
      </c>
      <c r="K16" s="13">
        <f t="shared" si="2"/>
        <v>129.29</v>
      </c>
      <c r="L16" s="27">
        <v>187.99</v>
      </c>
      <c r="M16" s="13">
        <f t="shared" si="3"/>
        <v>157.91159999999999</v>
      </c>
      <c r="N16" s="24">
        <f t="shared" si="4"/>
        <v>1.0408106666666668</v>
      </c>
      <c r="O16" s="15">
        <f t="shared" si="0"/>
        <v>28.621600000000001</v>
      </c>
      <c r="P16" s="16">
        <f t="shared" si="1"/>
        <v>0.15225065163040588</v>
      </c>
    </row>
    <row r="17" spans="2:16" x14ac:dyDescent="0.25">
      <c r="B17" s="12" t="s">
        <v>5</v>
      </c>
      <c r="C17" s="12">
        <v>175</v>
      </c>
      <c r="D17" s="13">
        <v>0.85</v>
      </c>
      <c r="E17" s="13">
        <v>0.6</v>
      </c>
      <c r="F17" s="13">
        <v>0.09</v>
      </c>
      <c r="G17" s="13">
        <v>1</v>
      </c>
      <c r="H17" s="13">
        <v>0</v>
      </c>
      <c r="I17" s="13">
        <v>0.1</v>
      </c>
      <c r="J17" s="13">
        <v>0</v>
      </c>
      <c r="K17" s="13">
        <f t="shared" si="2"/>
        <v>150.54</v>
      </c>
      <c r="L17" s="27">
        <v>216.9</v>
      </c>
      <c r="M17" s="13">
        <f t="shared" si="3"/>
        <v>182.196</v>
      </c>
      <c r="N17" s="24">
        <f t="shared" si="4"/>
        <v>1.0308914285714286</v>
      </c>
      <c r="O17" s="15">
        <f t="shared" si="0"/>
        <v>31.656000000000006</v>
      </c>
      <c r="P17" s="16">
        <f t="shared" si="1"/>
        <v>0.14594744121715078</v>
      </c>
    </row>
    <row r="18" spans="2:16" x14ac:dyDescent="0.25">
      <c r="B18" s="12" t="s">
        <v>5</v>
      </c>
      <c r="C18" s="12">
        <v>200</v>
      </c>
      <c r="D18" s="13">
        <v>0.85</v>
      </c>
      <c r="E18" s="13">
        <v>0.6</v>
      </c>
      <c r="F18" s="13">
        <v>0.09</v>
      </c>
      <c r="G18" s="13">
        <v>1</v>
      </c>
      <c r="H18" s="13">
        <v>0</v>
      </c>
      <c r="I18" s="13">
        <v>0.1</v>
      </c>
      <c r="J18" s="13">
        <v>0</v>
      </c>
      <c r="K18" s="13">
        <f>(D18*C18)+E18+F18+G18+H124+I18+J18</f>
        <v>171.79</v>
      </c>
      <c r="L18" s="27">
        <v>246.9</v>
      </c>
      <c r="M18" s="13">
        <f t="shared" si="3"/>
        <v>207.39599999999999</v>
      </c>
      <c r="N18" s="24">
        <f t="shared" si="4"/>
        <v>1.02803</v>
      </c>
      <c r="O18" s="15">
        <f t="shared" si="0"/>
        <v>35.605999999999995</v>
      </c>
      <c r="P18" s="16">
        <f t="shared" si="1"/>
        <v>0.14421223167274197</v>
      </c>
    </row>
    <row r="19" spans="2:16" x14ac:dyDescent="0.25">
      <c r="B19" s="9" t="s">
        <v>0</v>
      </c>
      <c r="C19" s="9" t="s">
        <v>1</v>
      </c>
      <c r="D19" s="9" t="s">
        <v>23</v>
      </c>
      <c r="E19" s="9" t="s">
        <v>2</v>
      </c>
      <c r="F19" s="9" t="s">
        <v>14</v>
      </c>
      <c r="G19" s="9" t="s">
        <v>3</v>
      </c>
      <c r="H19" s="9" t="s">
        <v>13</v>
      </c>
      <c r="I19" s="9" t="s">
        <v>19</v>
      </c>
      <c r="J19" s="9" t="s">
        <v>18</v>
      </c>
      <c r="K19" s="9" t="s">
        <v>15</v>
      </c>
      <c r="L19" s="10" t="s">
        <v>16</v>
      </c>
      <c r="M19" s="9" t="s">
        <v>20</v>
      </c>
      <c r="N19" s="9" t="s">
        <v>29</v>
      </c>
      <c r="O19" s="9" t="s">
        <v>22</v>
      </c>
      <c r="P19" s="11" t="s">
        <v>21</v>
      </c>
    </row>
    <row r="20" spans="2:16" x14ac:dyDescent="0.25">
      <c r="B20" s="1" t="s">
        <v>4</v>
      </c>
      <c r="C20" s="1">
        <v>1</v>
      </c>
      <c r="D20" s="2">
        <v>2.7</v>
      </c>
      <c r="E20" s="2">
        <v>0.4</v>
      </c>
      <c r="F20" s="2">
        <v>0.05</v>
      </c>
      <c r="G20" s="2">
        <v>1</v>
      </c>
      <c r="H20" s="13">
        <v>0</v>
      </c>
      <c r="I20" s="13">
        <v>0.1</v>
      </c>
      <c r="J20" s="2">
        <v>0</v>
      </c>
      <c r="K20" s="2">
        <f t="shared" ref="K20:K25" si="5">(D20*C20)+E20+G20+F20+H20+I20+J20</f>
        <v>4.2499999999999991</v>
      </c>
      <c r="L20" s="28">
        <v>15.99</v>
      </c>
      <c r="M20" s="13">
        <f t="shared" si="3"/>
        <v>13.4316</v>
      </c>
      <c r="N20" s="24">
        <f t="shared" si="4"/>
        <v>11.881599999999999</v>
      </c>
      <c r="O20" s="15">
        <f t="shared" ref="O20:O25" si="6">M20-K20</f>
        <v>9.1815999999999995</v>
      </c>
      <c r="P20" s="16">
        <f t="shared" ref="P20:P25" si="7">(O20/L20)</f>
        <v>0.57420888055034391</v>
      </c>
    </row>
    <row r="21" spans="2:16" x14ac:dyDescent="0.25">
      <c r="B21" s="1" t="s">
        <v>4</v>
      </c>
      <c r="C21" s="1">
        <v>5</v>
      </c>
      <c r="D21" s="2">
        <v>2.7</v>
      </c>
      <c r="E21" s="2">
        <v>0.4</v>
      </c>
      <c r="F21" s="2">
        <v>0.05</v>
      </c>
      <c r="G21" s="2">
        <v>1</v>
      </c>
      <c r="H21" s="13">
        <v>0</v>
      </c>
      <c r="I21" s="13">
        <v>0.1</v>
      </c>
      <c r="J21" s="2">
        <v>0</v>
      </c>
      <c r="K21" s="2">
        <f t="shared" si="5"/>
        <v>15.05</v>
      </c>
      <c r="L21" s="28">
        <v>31.99</v>
      </c>
      <c r="M21" s="13">
        <f t="shared" si="3"/>
        <v>26.871599999999997</v>
      </c>
      <c r="N21" s="24">
        <f t="shared" si="4"/>
        <v>5.0643199999999995</v>
      </c>
      <c r="O21" s="15">
        <f t="shared" si="6"/>
        <v>11.821599999999997</v>
      </c>
      <c r="P21" s="16">
        <f t="shared" si="7"/>
        <v>0.36954048140043755</v>
      </c>
    </row>
    <row r="22" spans="2:16" x14ac:dyDescent="0.25">
      <c r="B22" s="1" t="s">
        <v>4</v>
      </c>
      <c r="C22" s="1">
        <v>7</v>
      </c>
      <c r="D22" s="2">
        <v>2.7</v>
      </c>
      <c r="E22" s="2">
        <v>0.4</v>
      </c>
      <c r="F22" s="2">
        <v>0.05</v>
      </c>
      <c r="G22" s="2">
        <v>1</v>
      </c>
      <c r="H22" s="13">
        <v>0</v>
      </c>
      <c r="I22" s="13">
        <v>0.1</v>
      </c>
      <c r="J22" s="2">
        <v>0</v>
      </c>
      <c r="K22" s="2">
        <f t="shared" si="5"/>
        <v>20.450000000000003</v>
      </c>
      <c r="L22" s="28">
        <v>39.49</v>
      </c>
      <c r="M22" s="13">
        <f t="shared" si="3"/>
        <v>33.171599999999998</v>
      </c>
      <c r="N22" s="24">
        <f t="shared" si="4"/>
        <v>4.5173714285714288</v>
      </c>
      <c r="O22" s="15">
        <f t="shared" si="6"/>
        <v>12.721599999999995</v>
      </c>
      <c r="P22" s="16">
        <f t="shared" si="7"/>
        <v>0.32214737908331209</v>
      </c>
    </row>
    <row r="23" spans="2:16" x14ac:dyDescent="0.25">
      <c r="B23" s="1" t="s">
        <v>4</v>
      </c>
      <c r="C23" s="1">
        <v>8</v>
      </c>
      <c r="D23" s="2">
        <v>2.7</v>
      </c>
      <c r="E23" s="2">
        <v>0.4</v>
      </c>
      <c r="F23" s="2">
        <v>0.05</v>
      </c>
      <c r="G23" s="2">
        <v>1</v>
      </c>
      <c r="H23" s="13">
        <v>0</v>
      </c>
      <c r="I23" s="13">
        <v>0.1</v>
      </c>
      <c r="J23" s="2">
        <v>0</v>
      </c>
      <c r="K23" s="2">
        <f t="shared" si="5"/>
        <v>23.150000000000002</v>
      </c>
      <c r="L23" s="28">
        <v>44.99</v>
      </c>
      <c r="M23" s="13">
        <f>L23*(1-16%)</f>
        <v>37.791600000000003</v>
      </c>
      <c r="N23" s="24">
        <f t="shared" si="4"/>
        <v>4.5302000000000007</v>
      </c>
      <c r="O23" s="15">
        <f t="shared" si="6"/>
        <v>14.6416</v>
      </c>
      <c r="P23" s="16">
        <f t="shared" si="7"/>
        <v>0.32544120915759056</v>
      </c>
    </row>
    <row r="24" spans="2:16" x14ac:dyDescent="0.25">
      <c r="B24" s="1" t="s">
        <v>4</v>
      </c>
      <c r="C24" s="1">
        <v>10</v>
      </c>
      <c r="D24" s="2">
        <v>2.7</v>
      </c>
      <c r="E24" s="2">
        <v>0.4</v>
      </c>
      <c r="F24" s="2">
        <v>0.05</v>
      </c>
      <c r="G24" s="2">
        <v>1</v>
      </c>
      <c r="H24" s="13">
        <v>0</v>
      </c>
      <c r="I24" s="13">
        <v>0.1</v>
      </c>
      <c r="J24" s="2">
        <v>0</v>
      </c>
      <c r="K24" s="2">
        <f t="shared" si="5"/>
        <v>28.55</v>
      </c>
      <c r="L24" s="29">
        <v>52.49</v>
      </c>
      <c r="M24" s="13">
        <f t="shared" si="3"/>
        <v>44.0916</v>
      </c>
      <c r="N24" s="24">
        <f t="shared" si="4"/>
        <v>4.2541600000000006</v>
      </c>
      <c r="O24" s="15">
        <f t="shared" si="6"/>
        <v>15.541599999999999</v>
      </c>
      <c r="P24" s="16">
        <f t="shared" si="7"/>
        <v>0.29608687369022668</v>
      </c>
    </row>
    <row r="25" spans="2:16" x14ac:dyDescent="0.25">
      <c r="B25" s="1" t="s">
        <v>4</v>
      </c>
      <c r="C25" s="1">
        <v>15</v>
      </c>
      <c r="D25" s="2">
        <v>2.7</v>
      </c>
      <c r="E25" s="2">
        <v>0.55000000000000004</v>
      </c>
      <c r="F25" s="2">
        <v>0.05</v>
      </c>
      <c r="G25" s="2">
        <v>1</v>
      </c>
      <c r="H25" s="13">
        <v>0</v>
      </c>
      <c r="I25" s="13">
        <v>0.1</v>
      </c>
      <c r="J25" s="2">
        <v>0</v>
      </c>
      <c r="K25" s="2">
        <f t="shared" si="5"/>
        <v>42.199999999999996</v>
      </c>
      <c r="L25" s="28">
        <v>69.989999999999995</v>
      </c>
      <c r="M25" s="13">
        <f t="shared" si="3"/>
        <v>58.791599999999995</v>
      </c>
      <c r="N25" s="24">
        <f t="shared" si="4"/>
        <v>3.8061066666666665</v>
      </c>
      <c r="O25" s="15">
        <f t="shared" si="6"/>
        <v>16.5916</v>
      </c>
      <c r="P25" s="16">
        <f t="shared" si="7"/>
        <v>0.23705672238891271</v>
      </c>
    </row>
    <row r="26" spans="2:16" x14ac:dyDescent="0.25">
      <c r="B26" s="9" t="s">
        <v>0</v>
      </c>
      <c r="C26" s="9" t="s">
        <v>1</v>
      </c>
      <c r="D26" s="9" t="s">
        <v>23</v>
      </c>
      <c r="E26" s="9" t="s">
        <v>2</v>
      </c>
      <c r="F26" s="9" t="s">
        <v>14</v>
      </c>
      <c r="G26" s="9" t="s">
        <v>3</v>
      </c>
      <c r="H26" s="9" t="s">
        <v>13</v>
      </c>
      <c r="I26" s="9" t="s">
        <v>19</v>
      </c>
      <c r="J26" s="9" t="s">
        <v>18</v>
      </c>
      <c r="K26" s="9" t="s">
        <v>15</v>
      </c>
      <c r="L26" s="10" t="s">
        <v>16</v>
      </c>
      <c r="M26" s="9" t="s">
        <v>20</v>
      </c>
      <c r="N26" s="9" t="s">
        <v>29</v>
      </c>
      <c r="O26" s="9" t="s">
        <v>22</v>
      </c>
      <c r="P26" s="11" t="s">
        <v>21</v>
      </c>
    </row>
    <row r="27" spans="2:16" x14ac:dyDescent="0.25">
      <c r="B27" s="1" t="s">
        <v>28</v>
      </c>
      <c r="C27" s="1">
        <v>1</v>
      </c>
      <c r="D27" s="2">
        <v>3</v>
      </c>
      <c r="E27" s="2">
        <v>0.4</v>
      </c>
      <c r="F27" s="2">
        <v>0.05</v>
      </c>
      <c r="G27" s="2">
        <v>1</v>
      </c>
      <c r="H27" s="13">
        <v>0</v>
      </c>
      <c r="I27" s="13">
        <v>0.1</v>
      </c>
      <c r="J27" s="2">
        <v>0</v>
      </c>
      <c r="K27" s="2">
        <f t="shared" ref="K27:K32" si="8">(D27*C27)+E27+G27+F27+H27+I27+J27</f>
        <v>4.55</v>
      </c>
      <c r="L27" s="28">
        <v>16.989999999999998</v>
      </c>
      <c r="M27" s="13">
        <f t="shared" si="3"/>
        <v>14.271599999999998</v>
      </c>
      <c r="N27" s="24">
        <f t="shared" si="4"/>
        <v>12.721599999999997</v>
      </c>
      <c r="O27" s="15">
        <f t="shared" ref="O27:O32" si="9">M27-K27</f>
        <v>9.7215999999999987</v>
      </c>
      <c r="P27" s="16">
        <f t="shared" ref="P27:P32" si="10">(O27/L27)</f>
        <v>0.57219540906415534</v>
      </c>
    </row>
    <row r="28" spans="2:16" x14ac:dyDescent="0.25">
      <c r="B28" s="1" t="s">
        <v>28</v>
      </c>
      <c r="C28" s="1">
        <v>5</v>
      </c>
      <c r="D28" s="2">
        <v>3</v>
      </c>
      <c r="E28" s="2">
        <v>0.4</v>
      </c>
      <c r="F28" s="2">
        <v>0.05</v>
      </c>
      <c r="G28" s="2">
        <v>1</v>
      </c>
      <c r="H28" s="13">
        <v>0</v>
      </c>
      <c r="I28" s="13">
        <v>0.1</v>
      </c>
      <c r="J28" s="2">
        <v>0</v>
      </c>
      <c r="K28" s="2">
        <f t="shared" si="8"/>
        <v>16.55</v>
      </c>
      <c r="L28" s="28">
        <v>35.49</v>
      </c>
      <c r="M28" s="13">
        <f t="shared" si="3"/>
        <v>29.811600000000002</v>
      </c>
      <c r="N28" s="24">
        <f t="shared" si="4"/>
        <v>5.6523200000000005</v>
      </c>
      <c r="O28" s="15">
        <f t="shared" si="9"/>
        <v>13.261600000000001</v>
      </c>
      <c r="P28" s="16">
        <f t="shared" si="10"/>
        <v>0.37367145674837987</v>
      </c>
    </row>
    <row r="29" spans="2:16" x14ac:dyDescent="0.25">
      <c r="B29" s="1" t="s">
        <v>28</v>
      </c>
      <c r="C29" s="1">
        <v>7</v>
      </c>
      <c r="D29" s="2">
        <v>3</v>
      </c>
      <c r="E29" s="2">
        <v>0.4</v>
      </c>
      <c r="F29" s="2">
        <v>0.05</v>
      </c>
      <c r="G29" s="2">
        <v>1</v>
      </c>
      <c r="H29" s="13">
        <v>0</v>
      </c>
      <c r="I29" s="13">
        <v>0.1</v>
      </c>
      <c r="J29" s="2">
        <v>0</v>
      </c>
      <c r="K29" s="2">
        <f t="shared" si="8"/>
        <v>22.55</v>
      </c>
      <c r="L29" s="28">
        <v>42.99</v>
      </c>
      <c r="M29" s="13">
        <f t="shared" si="3"/>
        <v>36.111600000000003</v>
      </c>
      <c r="N29" s="24">
        <f t="shared" si="4"/>
        <v>4.9373714285714296</v>
      </c>
      <c r="O29" s="15">
        <f t="shared" si="9"/>
        <v>13.561600000000002</v>
      </c>
      <c r="P29" s="16">
        <f t="shared" si="10"/>
        <v>0.3154594091649221</v>
      </c>
    </row>
    <row r="30" spans="2:16" x14ac:dyDescent="0.25">
      <c r="B30" s="1" t="s">
        <v>28</v>
      </c>
      <c r="C30" s="1">
        <v>8</v>
      </c>
      <c r="D30" s="2">
        <v>3</v>
      </c>
      <c r="E30" s="2">
        <v>0.4</v>
      </c>
      <c r="F30" s="2">
        <v>0.05</v>
      </c>
      <c r="G30" s="2">
        <v>1</v>
      </c>
      <c r="H30" s="13">
        <v>0</v>
      </c>
      <c r="I30" s="13">
        <v>0.1</v>
      </c>
      <c r="J30" s="2">
        <v>0</v>
      </c>
      <c r="K30" s="2">
        <f t="shared" si="8"/>
        <v>25.55</v>
      </c>
      <c r="L30" s="28">
        <v>46.99</v>
      </c>
      <c r="M30" s="13">
        <f t="shared" si="3"/>
        <v>39.471600000000002</v>
      </c>
      <c r="N30" s="24">
        <f t="shared" si="4"/>
        <v>4.7402000000000006</v>
      </c>
      <c r="O30" s="15">
        <f t="shared" si="9"/>
        <v>13.921600000000002</v>
      </c>
      <c r="P30" s="16">
        <f t="shared" si="10"/>
        <v>0.29626729091296022</v>
      </c>
    </row>
    <row r="31" spans="2:16" x14ac:dyDescent="0.25">
      <c r="B31" s="1" t="s">
        <v>28</v>
      </c>
      <c r="C31" s="1">
        <v>10</v>
      </c>
      <c r="D31" s="2">
        <v>3</v>
      </c>
      <c r="E31" s="2">
        <v>0.4</v>
      </c>
      <c r="F31" s="2">
        <v>0.05</v>
      </c>
      <c r="G31" s="2">
        <v>1</v>
      </c>
      <c r="H31" s="13">
        <v>0</v>
      </c>
      <c r="I31" s="13">
        <v>0.1</v>
      </c>
      <c r="J31" s="2">
        <v>0</v>
      </c>
      <c r="K31" s="2">
        <f t="shared" si="8"/>
        <v>31.55</v>
      </c>
      <c r="L31" s="28">
        <v>57.49</v>
      </c>
      <c r="M31" s="13">
        <f t="shared" si="3"/>
        <v>48.291600000000003</v>
      </c>
      <c r="N31" s="24">
        <f t="shared" si="4"/>
        <v>4.6741600000000005</v>
      </c>
      <c r="O31" s="15">
        <f t="shared" si="9"/>
        <v>16.741600000000002</v>
      </c>
      <c r="P31" s="16">
        <f t="shared" si="10"/>
        <v>0.29120890589667769</v>
      </c>
    </row>
    <row r="32" spans="2:16" x14ac:dyDescent="0.25">
      <c r="B32" s="1" t="s">
        <v>28</v>
      </c>
      <c r="C32" s="1">
        <v>15</v>
      </c>
      <c r="D32" s="2">
        <v>3</v>
      </c>
      <c r="E32" s="2">
        <v>0.55000000000000004</v>
      </c>
      <c r="F32" s="2">
        <v>0.05</v>
      </c>
      <c r="G32" s="2">
        <v>1</v>
      </c>
      <c r="H32" s="13">
        <v>0</v>
      </c>
      <c r="I32" s="13">
        <v>0.1</v>
      </c>
      <c r="J32" s="2">
        <v>0</v>
      </c>
      <c r="K32" s="2">
        <f t="shared" si="8"/>
        <v>46.699999999999996</v>
      </c>
      <c r="L32" s="28">
        <v>79.989999999999995</v>
      </c>
      <c r="M32" s="13">
        <f t="shared" si="3"/>
        <v>67.191599999999994</v>
      </c>
      <c r="N32" s="24">
        <f t="shared" si="4"/>
        <v>4.366106666666667</v>
      </c>
      <c r="O32" s="15">
        <f t="shared" si="9"/>
        <v>20.491599999999998</v>
      </c>
      <c r="P32" s="16">
        <f t="shared" si="10"/>
        <v>0.25617702212776594</v>
      </c>
    </row>
    <row r="33" spans="2:16" x14ac:dyDescent="0.25">
      <c r="B33" s="9" t="s">
        <v>0</v>
      </c>
      <c r="C33" s="9" t="s">
        <v>1</v>
      </c>
      <c r="D33" s="9" t="s">
        <v>23</v>
      </c>
      <c r="E33" s="9" t="s">
        <v>2</v>
      </c>
      <c r="F33" s="9" t="s">
        <v>14</v>
      </c>
      <c r="G33" s="9" t="s">
        <v>3</v>
      </c>
      <c r="H33" s="9" t="s">
        <v>13</v>
      </c>
      <c r="I33" s="9" t="s">
        <v>19</v>
      </c>
      <c r="J33" s="9" t="s">
        <v>18</v>
      </c>
      <c r="K33" s="9" t="s">
        <v>15</v>
      </c>
      <c r="L33" s="10" t="s">
        <v>16</v>
      </c>
      <c r="M33" s="9" t="s">
        <v>20</v>
      </c>
      <c r="N33" s="9" t="s">
        <v>29</v>
      </c>
      <c r="O33" s="9" t="s">
        <v>22</v>
      </c>
      <c r="P33" s="11" t="s">
        <v>21</v>
      </c>
    </row>
    <row r="34" spans="2:16" x14ac:dyDescent="0.25">
      <c r="B34" s="1" t="s">
        <v>24</v>
      </c>
      <c r="C34" s="1">
        <v>1</v>
      </c>
      <c r="D34" s="2">
        <v>14.2</v>
      </c>
      <c r="E34" s="2">
        <v>0.4</v>
      </c>
      <c r="F34" s="2">
        <v>0.09</v>
      </c>
      <c r="G34" s="2">
        <v>1</v>
      </c>
      <c r="H34" s="13">
        <v>0</v>
      </c>
      <c r="I34" s="13">
        <v>0.1</v>
      </c>
      <c r="J34" s="2">
        <v>0</v>
      </c>
      <c r="K34" s="2">
        <f t="shared" ref="K34:K39" si="11">(D34*C34)+E34+G34+F34+H34+I34+J34</f>
        <v>15.79</v>
      </c>
      <c r="L34" s="28">
        <v>29.99</v>
      </c>
      <c r="M34" s="13">
        <f t="shared" si="3"/>
        <v>25.191599999999998</v>
      </c>
      <c r="N34" s="24">
        <f t="shared" si="4"/>
        <v>23.601599999999998</v>
      </c>
      <c r="O34" s="15">
        <f t="shared" ref="O34:O39" si="12">M34-K34</f>
        <v>9.4015999999999984</v>
      </c>
      <c r="P34" s="16">
        <f t="shared" ref="P34:P39" si="13">(O34/L34)</f>
        <v>0.31349116372124036</v>
      </c>
    </row>
    <row r="35" spans="2:16" x14ac:dyDescent="0.25">
      <c r="B35" s="1" t="s">
        <v>24</v>
      </c>
      <c r="C35" s="1">
        <v>2</v>
      </c>
      <c r="D35" s="2">
        <v>14.2</v>
      </c>
      <c r="E35" s="2">
        <v>0.4</v>
      </c>
      <c r="F35" s="2">
        <v>0.09</v>
      </c>
      <c r="G35" s="2">
        <v>1</v>
      </c>
      <c r="H35" s="13">
        <v>0</v>
      </c>
      <c r="I35" s="13">
        <v>0.1</v>
      </c>
      <c r="J35" s="2">
        <v>0</v>
      </c>
      <c r="K35" s="2">
        <f t="shared" si="11"/>
        <v>29.99</v>
      </c>
      <c r="L35" s="28">
        <v>53.99</v>
      </c>
      <c r="M35" s="13">
        <f t="shared" si="3"/>
        <v>45.351599999999998</v>
      </c>
      <c r="N35" s="24">
        <f t="shared" si="4"/>
        <v>21.880799999999997</v>
      </c>
      <c r="O35" s="15">
        <f t="shared" si="12"/>
        <v>15.361599999999999</v>
      </c>
      <c r="P35" s="16">
        <f t="shared" si="13"/>
        <v>0.28452676421559547</v>
      </c>
    </row>
    <row r="36" spans="2:16" x14ac:dyDescent="0.25">
      <c r="B36" s="1" t="s">
        <v>24</v>
      </c>
      <c r="C36" s="1">
        <v>4</v>
      </c>
      <c r="D36" s="2">
        <v>14.2</v>
      </c>
      <c r="E36" s="2">
        <v>0.4</v>
      </c>
      <c r="F36" s="2">
        <v>0.09</v>
      </c>
      <c r="G36" s="2">
        <v>1</v>
      </c>
      <c r="H36" s="13">
        <v>0</v>
      </c>
      <c r="I36" s="13">
        <v>0.1</v>
      </c>
      <c r="J36" s="2">
        <v>0</v>
      </c>
      <c r="K36" s="2">
        <f t="shared" si="11"/>
        <v>58.39</v>
      </c>
      <c r="L36" s="28">
        <v>98.99</v>
      </c>
      <c r="M36" s="13">
        <f t="shared" si="3"/>
        <v>83.151599999999988</v>
      </c>
      <c r="N36" s="24">
        <f t="shared" si="4"/>
        <v>20.390399999999996</v>
      </c>
      <c r="O36" s="15">
        <f t="shared" si="12"/>
        <v>24.761599999999987</v>
      </c>
      <c r="P36" s="16">
        <f t="shared" si="13"/>
        <v>0.25014243863016455</v>
      </c>
    </row>
    <row r="37" spans="2:16" x14ac:dyDescent="0.25">
      <c r="B37" s="1" t="s">
        <v>24</v>
      </c>
      <c r="C37" s="1">
        <v>6</v>
      </c>
      <c r="D37" s="2">
        <v>14.2</v>
      </c>
      <c r="E37" s="2">
        <v>0.4</v>
      </c>
      <c r="F37" s="2">
        <v>0.09</v>
      </c>
      <c r="G37" s="2">
        <v>1</v>
      </c>
      <c r="H37" s="13">
        <v>0</v>
      </c>
      <c r="I37" s="13">
        <v>0.1</v>
      </c>
      <c r="J37" s="2">
        <v>0</v>
      </c>
      <c r="K37" s="2">
        <f t="shared" si="11"/>
        <v>86.789999999999992</v>
      </c>
      <c r="L37" s="28">
        <v>149.97999999999999</v>
      </c>
      <c r="M37" s="13">
        <f t="shared" si="3"/>
        <v>125.98319999999998</v>
      </c>
      <c r="N37" s="24">
        <f t="shared" si="4"/>
        <v>20.732199999999995</v>
      </c>
      <c r="O37" s="15">
        <f t="shared" si="12"/>
        <v>39.19319999999999</v>
      </c>
      <c r="P37" s="16">
        <f t="shared" si="13"/>
        <v>0.26132284304573938</v>
      </c>
    </row>
    <row r="38" spans="2:16" x14ac:dyDescent="0.25">
      <c r="B38" s="1" t="s">
        <v>24</v>
      </c>
      <c r="C38" s="1">
        <v>8</v>
      </c>
      <c r="D38" s="2">
        <v>14.2</v>
      </c>
      <c r="E38" s="2">
        <v>0.4</v>
      </c>
      <c r="F38" s="2">
        <v>0.09</v>
      </c>
      <c r="G38" s="2">
        <v>1</v>
      </c>
      <c r="H38" s="13">
        <v>0</v>
      </c>
      <c r="I38" s="13">
        <v>0.1</v>
      </c>
      <c r="J38" s="2">
        <v>0</v>
      </c>
      <c r="K38" s="2">
        <f t="shared" si="11"/>
        <v>115.19</v>
      </c>
      <c r="L38" s="28">
        <v>189.99</v>
      </c>
      <c r="M38" s="13">
        <f t="shared" si="3"/>
        <v>159.5916</v>
      </c>
      <c r="N38" s="24">
        <f t="shared" si="4"/>
        <v>19.7502</v>
      </c>
      <c r="O38" s="15">
        <f t="shared" si="12"/>
        <v>44.401600000000002</v>
      </c>
      <c r="P38" s="16">
        <f t="shared" si="13"/>
        <v>0.23370493183851782</v>
      </c>
    </row>
    <row r="39" spans="2:16" x14ac:dyDescent="0.25">
      <c r="B39" s="1" t="s">
        <v>24</v>
      </c>
      <c r="C39" s="1">
        <v>10</v>
      </c>
      <c r="D39" s="2">
        <v>14.2</v>
      </c>
      <c r="E39" s="2">
        <v>0.4</v>
      </c>
      <c r="F39" s="2">
        <v>0.09</v>
      </c>
      <c r="G39" s="2">
        <v>1</v>
      </c>
      <c r="H39" s="13">
        <v>0</v>
      </c>
      <c r="I39" s="13">
        <v>0.1</v>
      </c>
      <c r="J39" s="2">
        <v>0</v>
      </c>
      <c r="K39" s="2">
        <f t="shared" si="11"/>
        <v>143.59</v>
      </c>
      <c r="L39" s="28">
        <v>229.89</v>
      </c>
      <c r="M39" s="13">
        <f t="shared" si="3"/>
        <v>193.10759999999999</v>
      </c>
      <c r="N39" s="24">
        <f t="shared" si="4"/>
        <v>19.151759999999999</v>
      </c>
      <c r="O39" s="15">
        <f t="shared" si="12"/>
        <v>49.517599999999987</v>
      </c>
      <c r="P39" s="16">
        <f t="shared" si="13"/>
        <v>0.21539692896602719</v>
      </c>
    </row>
    <row r="40" spans="2:16" x14ac:dyDescent="0.25">
      <c r="B40" s="9" t="s">
        <v>0</v>
      </c>
      <c r="C40" s="9" t="s">
        <v>1</v>
      </c>
      <c r="D40" s="9" t="s">
        <v>23</v>
      </c>
      <c r="E40" s="9" t="s">
        <v>2</v>
      </c>
      <c r="F40" s="9" t="s">
        <v>14</v>
      </c>
      <c r="G40" s="9" t="s">
        <v>3</v>
      </c>
      <c r="H40" s="9" t="s">
        <v>13</v>
      </c>
      <c r="I40" s="9" t="s">
        <v>19</v>
      </c>
      <c r="J40" s="9" t="s">
        <v>18</v>
      </c>
      <c r="K40" s="9" t="s">
        <v>15</v>
      </c>
      <c r="L40" s="10" t="s">
        <v>16</v>
      </c>
      <c r="M40" s="9" t="s">
        <v>20</v>
      </c>
      <c r="N40" s="9" t="s">
        <v>29</v>
      </c>
      <c r="O40" s="9" t="s">
        <v>22</v>
      </c>
      <c r="P40" s="11" t="s">
        <v>21</v>
      </c>
    </row>
    <row r="41" spans="2:16" x14ac:dyDescent="0.25">
      <c r="B41" s="1" t="s">
        <v>25</v>
      </c>
      <c r="C41" s="1">
        <v>1</v>
      </c>
      <c r="D41" s="2">
        <v>3</v>
      </c>
      <c r="E41" s="13">
        <v>0.4</v>
      </c>
      <c r="F41" s="2">
        <v>0.06</v>
      </c>
      <c r="G41" s="2">
        <v>0.5</v>
      </c>
      <c r="H41" s="13">
        <v>0</v>
      </c>
      <c r="I41" s="13">
        <v>0.1</v>
      </c>
      <c r="J41" s="2">
        <v>0</v>
      </c>
      <c r="K41" s="2">
        <f>(D41*C41)+E41+G41+F41+H41+I41+J41</f>
        <v>4.0599999999999996</v>
      </c>
      <c r="L41" s="28">
        <v>11.99</v>
      </c>
      <c r="M41" s="13">
        <f t="shared" si="3"/>
        <v>10.0716</v>
      </c>
      <c r="N41" s="24">
        <f t="shared" si="4"/>
        <v>9.0115999999999996</v>
      </c>
      <c r="O41" s="15">
        <f>M41-K41</f>
        <v>6.0116000000000005</v>
      </c>
      <c r="P41" s="16">
        <f>(O41/L41)</f>
        <v>0.50138448707256045</v>
      </c>
    </row>
    <row r="42" spans="2:16" x14ac:dyDescent="0.25">
      <c r="B42" s="1" t="s">
        <v>25</v>
      </c>
      <c r="C42" s="1">
        <v>2</v>
      </c>
      <c r="D42" s="2">
        <v>3</v>
      </c>
      <c r="E42" s="13">
        <v>0.4</v>
      </c>
      <c r="F42" s="2">
        <v>0.06</v>
      </c>
      <c r="G42" s="2">
        <v>0.5</v>
      </c>
      <c r="H42" s="13">
        <v>0</v>
      </c>
      <c r="I42" s="13">
        <v>0.1</v>
      </c>
      <c r="J42" s="2">
        <v>0</v>
      </c>
      <c r="K42" s="2">
        <f>(D42*C42)+E42+G42+F42+H42+I42+J42</f>
        <v>7.06</v>
      </c>
      <c r="L42" s="28">
        <v>19.489999999999998</v>
      </c>
      <c r="M42" s="13">
        <f t="shared" si="3"/>
        <v>16.371599999999997</v>
      </c>
      <c r="N42" s="24">
        <f t="shared" si="4"/>
        <v>7.6557999999999975</v>
      </c>
      <c r="O42" s="15">
        <f>M42-K42</f>
        <v>9.3115999999999985</v>
      </c>
      <c r="P42" s="16">
        <f>(O42/L42)</f>
        <v>0.47776295536172392</v>
      </c>
    </row>
    <row r="43" spans="2:16" x14ac:dyDescent="0.25">
      <c r="B43" s="1" t="s">
        <v>25</v>
      </c>
      <c r="C43" s="1">
        <v>4</v>
      </c>
      <c r="D43" s="2">
        <v>3</v>
      </c>
      <c r="E43" s="13">
        <v>0.7</v>
      </c>
      <c r="F43" s="2">
        <v>0.06</v>
      </c>
      <c r="G43" s="2">
        <v>0.5</v>
      </c>
      <c r="H43" s="13">
        <v>0</v>
      </c>
      <c r="I43" s="13">
        <v>0.1</v>
      </c>
      <c r="J43" s="2">
        <v>0</v>
      </c>
      <c r="K43" s="2">
        <f>(D43*C43)+E43+G43+F43+H43+I43+J43</f>
        <v>13.36</v>
      </c>
      <c r="L43" s="28">
        <v>29.49</v>
      </c>
      <c r="M43" s="13">
        <f t="shared" si="3"/>
        <v>24.771599999999999</v>
      </c>
      <c r="N43" s="24">
        <f t="shared" si="4"/>
        <v>5.8529</v>
      </c>
      <c r="O43" s="15">
        <f>M43-K43</f>
        <v>11.4116</v>
      </c>
      <c r="P43" s="16">
        <f>(O43/L43)</f>
        <v>0.38696507290606985</v>
      </c>
    </row>
    <row r="44" spans="2:16" x14ac:dyDescent="0.25">
      <c r="B44" s="1" t="s">
        <v>25</v>
      </c>
      <c r="C44" s="1">
        <v>6</v>
      </c>
      <c r="D44" s="2">
        <v>3</v>
      </c>
      <c r="E44" s="13">
        <v>0.9</v>
      </c>
      <c r="F44" s="2">
        <v>0.06</v>
      </c>
      <c r="G44" s="2">
        <v>0.5</v>
      </c>
      <c r="H44" s="13">
        <v>0</v>
      </c>
      <c r="I44" s="13">
        <v>0.1</v>
      </c>
      <c r="J44" s="2">
        <v>0</v>
      </c>
      <c r="K44" s="2">
        <f>(D44*C44)+E44+G44+F44+H44+I44+J44</f>
        <v>19.559999999999999</v>
      </c>
      <c r="L44" s="28">
        <v>37.99</v>
      </c>
      <c r="M44" s="13">
        <f t="shared" si="3"/>
        <v>31.9116</v>
      </c>
      <c r="N44" s="24">
        <f t="shared" si="4"/>
        <v>5.0586000000000002</v>
      </c>
      <c r="O44" s="15">
        <f>M44-K44</f>
        <v>12.351600000000001</v>
      </c>
      <c r="P44" s="16">
        <f>(O44/L44)</f>
        <v>0.3251276651750461</v>
      </c>
    </row>
    <row r="45" spans="2:16" x14ac:dyDescent="0.25">
      <c r="B45" s="9" t="s">
        <v>0</v>
      </c>
      <c r="C45" s="9" t="s">
        <v>1</v>
      </c>
      <c r="D45" s="9" t="s">
        <v>23</v>
      </c>
      <c r="E45" s="9" t="s">
        <v>2</v>
      </c>
      <c r="F45" s="9" t="s">
        <v>14</v>
      </c>
      <c r="G45" s="9" t="s">
        <v>3</v>
      </c>
      <c r="H45" s="9" t="s">
        <v>13</v>
      </c>
      <c r="I45" s="9" t="s">
        <v>19</v>
      </c>
      <c r="J45" s="9" t="s">
        <v>18</v>
      </c>
      <c r="K45" s="9" t="s">
        <v>15</v>
      </c>
      <c r="L45" s="10" t="s">
        <v>16</v>
      </c>
      <c r="M45" s="9" t="s">
        <v>20</v>
      </c>
      <c r="N45" s="9" t="s">
        <v>29</v>
      </c>
      <c r="O45" s="9" t="s">
        <v>22</v>
      </c>
      <c r="P45" s="11" t="s">
        <v>21</v>
      </c>
    </row>
    <row r="46" spans="2:16" x14ac:dyDescent="0.25">
      <c r="B46" s="1" t="s">
        <v>27</v>
      </c>
      <c r="C46" s="1">
        <v>1</v>
      </c>
      <c r="D46" s="2">
        <v>15.5</v>
      </c>
      <c r="E46" s="13">
        <v>0.4</v>
      </c>
      <c r="F46" s="2">
        <v>0.05</v>
      </c>
      <c r="G46" s="2">
        <v>0.5</v>
      </c>
      <c r="H46" s="13">
        <v>0</v>
      </c>
      <c r="I46" s="13">
        <v>0.1</v>
      </c>
      <c r="J46" s="2">
        <v>0</v>
      </c>
      <c r="K46" s="2">
        <f>(D46*C46)+E46+G46+F46+H46+I46+J46</f>
        <v>16.55</v>
      </c>
      <c r="L46" s="28">
        <v>34.619999999999997</v>
      </c>
      <c r="M46" s="13">
        <f t="shared" si="3"/>
        <v>29.080799999999996</v>
      </c>
      <c r="N46" s="24">
        <f t="shared" si="4"/>
        <v>28.030799999999996</v>
      </c>
      <c r="O46" s="15">
        <f>M46-K46</f>
        <v>12.530799999999996</v>
      </c>
      <c r="P46" s="16">
        <f>(O46/L46)</f>
        <v>0.36195262853841698</v>
      </c>
    </row>
    <row r="47" spans="2:16" x14ac:dyDescent="0.25">
      <c r="B47" s="1" t="s">
        <v>27</v>
      </c>
      <c r="C47" s="1">
        <v>2</v>
      </c>
      <c r="D47" s="2">
        <v>15.5</v>
      </c>
      <c r="E47" s="13">
        <v>0.4</v>
      </c>
      <c r="F47" s="2">
        <v>0.05</v>
      </c>
      <c r="G47" s="2">
        <v>0.5</v>
      </c>
      <c r="H47" s="13">
        <v>0</v>
      </c>
      <c r="I47" s="13">
        <v>0.1</v>
      </c>
      <c r="J47" s="2">
        <v>0</v>
      </c>
      <c r="K47" s="2">
        <f>(D47*C47)+E47+G47+F47+H47+I47+J47</f>
        <v>32.049999999999997</v>
      </c>
      <c r="L47" s="28">
        <v>62.99</v>
      </c>
      <c r="M47" s="13">
        <f t="shared" si="3"/>
        <v>52.9116</v>
      </c>
      <c r="N47" s="24">
        <f t="shared" si="4"/>
        <v>25.930800000000001</v>
      </c>
      <c r="O47" s="15">
        <f>M47-K47</f>
        <v>20.861600000000003</v>
      </c>
      <c r="P47" s="16">
        <f>(O47/L47)</f>
        <v>0.33118907763137007</v>
      </c>
    </row>
  </sheetData>
  <mergeCells count="1">
    <mergeCell ref="B2:P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ABB04-15F5-4606-8CEF-1A8DD8B4860B}">
  <sheetPr codeName="Planilha3"/>
  <dimension ref="B2:P49"/>
  <sheetViews>
    <sheetView zoomScale="85" zoomScaleNormal="85" workbookViewId="0">
      <selection activeCell="B14" sqref="B14"/>
    </sheetView>
  </sheetViews>
  <sheetFormatPr defaultRowHeight="15" x14ac:dyDescent="0.25"/>
  <cols>
    <col min="2" max="2" width="21.28515625" bestFit="1" customWidth="1"/>
    <col min="3" max="3" width="7.42578125" bestFit="1" customWidth="1"/>
    <col min="4" max="4" width="10.140625" bestFit="1" customWidth="1"/>
    <col min="5" max="5" width="10.7109375" bestFit="1" customWidth="1"/>
    <col min="6" max="6" width="7.42578125" bestFit="1" customWidth="1"/>
    <col min="7" max="10" width="7.28515625" bestFit="1" customWidth="1"/>
    <col min="11" max="11" width="10.28515625" bestFit="1" customWidth="1"/>
    <col min="12" max="13" width="14.85546875" bestFit="1" customWidth="1"/>
    <col min="14" max="14" width="10.7109375" bestFit="1" customWidth="1"/>
    <col min="15" max="15" width="9.7109375" bestFit="1" customWidth="1"/>
    <col min="16" max="16" width="11.42578125" bestFit="1" customWidth="1"/>
  </cols>
  <sheetData>
    <row r="2" spans="2:16" x14ac:dyDescent="0.25">
      <c r="B2" s="9" t="s">
        <v>0</v>
      </c>
      <c r="C2" s="9" t="s">
        <v>1</v>
      </c>
      <c r="D2" s="9" t="s">
        <v>23</v>
      </c>
      <c r="E2" s="9" t="s">
        <v>2</v>
      </c>
      <c r="F2" s="9" t="s">
        <v>14</v>
      </c>
      <c r="G2" s="9" t="s">
        <v>3</v>
      </c>
      <c r="H2" s="9" t="s">
        <v>13</v>
      </c>
      <c r="I2" s="9" t="s">
        <v>19</v>
      </c>
      <c r="J2" s="9" t="s">
        <v>18</v>
      </c>
      <c r="K2" s="9" t="s">
        <v>15</v>
      </c>
      <c r="L2" s="10" t="s">
        <v>16</v>
      </c>
      <c r="M2" s="9" t="s">
        <v>20</v>
      </c>
      <c r="N2" s="9" t="s">
        <v>22</v>
      </c>
      <c r="O2" s="11" t="s">
        <v>21</v>
      </c>
      <c r="P2" s="9" t="s">
        <v>17</v>
      </c>
    </row>
    <row r="3" spans="2:16" x14ac:dyDescent="0.25">
      <c r="B3" s="12" t="s">
        <v>5</v>
      </c>
      <c r="C3" s="12">
        <v>1</v>
      </c>
      <c r="D3" s="13">
        <v>0.9</v>
      </c>
      <c r="E3" s="13">
        <v>0.2</v>
      </c>
      <c r="F3" s="13">
        <v>0.09</v>
      </c>
      <c r="G3" s="13">
        <v>1</v>
      </c>
      <c r="H3" s="13">
        <v>0</v>
      </c>
      <c r="I3" s="13">
        <v>0</v>
      </c>
      <c r="J3" s="13">
        <v>0</v>
      </c>
      <c r="K3" s="13">
        <f>(D3*C3)+E3+F3+G3+H13+I3+J3</f>
        <v>2.1900000000000004</v>
      </c>
      <c r="L3" s="20">
        <v>10.99</v>
      </c>
      <c r="M3" s="13">
        <f>(L3-4)*0.8</f>
        <v>5.5920000000000005</v>
      </c>
      <c r="N3" s="15">
        <f>M3-K3</f>
        <v>3.4020000000000001</v>
      </c>
      <c r="O3" s="16">
        <f>(N3/K3)</f>
        <v>1.5534246575342463</v>
      </c>
      <c r="P3" s="14">
        <f>L3/N3</f>
        <v>3.2304526748971192</v>
      </c>
    </row>
    <row r="4" spans="2:16" x14ac:dyDescent="0.25">
      <c r="B4" s="12" t="s">
        <v>5</v>
      </c>
      <c r="C4" s="12">
        <v>5</v>
      </c>
      <c r="D4" s="13">
        <v>0.9</v>
      </c>
      <c r="E4" s="13">
        <v>0.2</v>
      </c>
      <c r="F4" s="13">
        <v>0.09</v>
      </c>
      <c r="G4" s="13">
        <v>1</v>
      </c>
      <c r="H4" s="13">
        <v>0</v>
      </c>
      <c r="I4" s="13">
        <v>0</v>
      </c>
      <c r="J4" s="13">
        <v>0</v>
      </c>
      <c r="K4" s="13">
        <f t="shared" ref="K4:K13" si="0">(D4*C4)+E4+F4+G4+H56+I4+J4</f>
        <v>5.79</v>
      </c>
      <c r="L4" s="20">
        <v>16</v>
      </c>
      <c r="M4" s="13">
        <f t="shared" ref="M4:M22" si="1">(L4-4)*0.8</f>
        <v>9.6000000000000014</v>
      </c>
      <c r="N4" s="15">
        <f t="shared" ref="N4:N22" si="2">M4-K4</f>
        <v>3.8100000000000014</v>
      </c>
      <c r="O4" s="16">
        <f t="shared" ref="O4:O22" si="3">(N4/K4)</f>
        <v>0.65803108808290178</v>
      </c>
      <c r="P4" s="14">
        <f t="shared" ref="P4:P17" si="4">L4/N4</f>
        <v>4.1994750656167961</v>
      </c>
    </row>
    <row r="5" spans="2:16" x14ac:dyDescent="0.25">
      <c r="B5" s="12" t="s">
        <v>5</v>
      </c>
      <c r="C5" s="12">
        <v>10</v>
      </c>
      <c r="D5" s="13">
        <v>0.9</v>
      </c>
      <c r="E5" s="13">
        <v>0.2</v>
      </c>
      <c r="F5" s="13">
        <v>0.09</v>
      </c>
      <c r="G5" s="13">
        <v>1</v>
      </c>
      <c r="H5" s="13">
        <v>0</v>
      </c>
      <c r="I5" s="13">
        <v>0</v>
      </c>
      <c r="J5" s="13">
        <v>0</v>
      </c>
      <c r="K5" s="13">
        <f t="shared" si="0"/>
        <v>10.29</v>
      </c>
      <c r="L5" s="20">
        <v>23.99</v>
      </c>
      <c r="M5" s="13">
        <f t="shared" si="1"/>
        <v>15.991999999999999</v>
      </c>
      <c r="N5" s="15">
        <f t="shared" si="2"/>
        <v>5.702</v>
      </c>
      <c r="O5" s="16">
        <f t="shared" si="3"/>
        <v>0.55413022351797869</v>
      </c>
      <c r="P5" s="14">
        <f t="shared" si="4"/>
        <v>4.2072956857243069</v>
      </c>
    </row>
    <row r="6" spans="2:16" x14ac:dyDescent="0.25">
      <c r="B6" s="12" t="s">
        <v>5</v>
      </c>
      <c r="C6" s="12">
        <v>15</v>
      </c>
      <c r="D6" s="13">
        <v>0.9</v>
      </c>
      <c r="E6" s="13">
        <v>0.2</v>
      </c>
      <c r="F6" s="13">
        <v>0.09</v>
      </c>
      <c r="G6" s="13">
        <v>1</v>
      </c>
      <c r="H6" s="13">
        <v>0</v>
      </c>
      <c r="I6" s="13">
        <v>0</v>
      </c>
      <c r="J6" s="13">
        <v>0</v>
      </c>
      <c r="K6" s="13">
        <f t="shared" si="0"/>
        <v>14.79</v>
      </c>
      <c r="L6" s="20">
        <v>29.25</v>
      </c>
      <c r="M6" s="13">
        <f t="shared" si="1"/>
        <v>20.200000000000003</v>
      </c>
      <c r="N6" s="15">
        <f t="shared" si="2"/>
        <v>5.4100000000000037</v>
      </c>
      <c r="O6" s="16">
        <f t="shared" si="3"/>
        <v>0.36578769438810033</v>
      </c>
      <c r="P6" s="14">
        <f t="shared" si="4"/>
        <v>5.4066543438077597</v>
      </c>
    </row>
    <row r="7" spans="2:16" x14ac:dyDescent="0.25">
      <c r="B7" s="12" t="s">
        <v>5</v>
      </c>
      <c r="C7" s="12">
        <v>20</v>
      </c>
      <c r="D7" s="13">
        <v>0.9</v>
      </c>
      <c r="E7" s="13">
        <v>0.2</v>
      </c>
      <c r="F7" s="13">
        <v>0.09</v>
      </c>
      <c r="G7" s="13">
        <v>1</v>
      </c>
      <c r="H7" s="13">
        <v>0</v>
      </c>
      <c r="I7" s="13">
        <v>0</v>
      </c>
      <c r="J7" s="13">
        <v>0</v>
      </c>
      <c r="K7" s="13">
        <f t="shared" si="0"/>
        <v>19.29</v>
      </c>
      <c r="L7" s="20">
        <v>35.200000000000003</v>
      </c>
      <c r="M7" s="13">
        <f t="shared" si="1"/>
        <v>24.960000000000004</v>
      </c>
      <c r="N7" s="15">
        <f t="shared" si="2"/>
        <v>5.6700000000000053</v>
      </c>
      <c r="O7" s="16">
        <f t="shared" si="3"/>
        <v>0.29393468118195987</v>
      </c>
      <c r="P7" s="14">
        <f t="shared" si="4"/>
        <v>6.2081128747795358</v>
      </c>
    </row>
    <row r="8" spans="2:16" x14ac:dyDescent="0.25">
      <c r="B8" s="12" t="s">
        <v>5</v>
      </c>
      <c r="C8" s="12">
        <v>25</v>
      </c>
      <c r="D8" s="13">
        <v>0.9</v>
      </c>
      <c r="E8" s="13">
        <v>0.2</v>
      </c>
      <c r="F8" s="13">
        <v>0.09</v>
      </c>
      <c r="G8" s="13">
        <v>1</v>
      </c>
      <c r="H8" s="13">
        <v>0</v>
      </c>
      <c r="I8" s="13">
        <v>0</v>
      </c>
      <c r="J8" s="13">
        <v>0</v>
      </c>
      <c r="K8" s="13">
        <f t="shared" si="0"/>
        <v>23.79</v>
      </c>
      <c r="L8" s="20">
        <v>43.99</v>
      </c>
      <c r="M8" s="13">
        <f t="shared" si="1"/>
        <v>31.992000000000004</v>
      </c>
      <c r="N8" s="15">
        <f t="shared" si="2"/>
        <v>8.2020000000000053</v>
      </c>
      <c r="O8" s="16">
        <f t="shared" si="3"/>
        <v>0.34476670870113518</v>
      </c>
      <c r="P8" s="14">
        <f t="shared" si="4"/>
        <v>5.3633260180443765</v>
      </c>
    </row>
    <row r="9" spans="2:16" x14ac:dyDescent="0.25">
      <c r="B9" s="12" t="s">
        <v>5</v>
      </c>
      <c r="C9" s="12">
        <v>30</v>
      </c>
      <c r="D9" s="13">
        <v>0.9</v>
      </c>
      <c r="E9" s="13">
        <v>0.2</v>
      </c>
      <c r="F9" s="13">
        <v>0.09</v>
      </c>
      <c r="G9" s="13">
        <v>1</v>
      </c>
      <c r="H9" s="13">
        <v>0</v>
      </c>
      <c r="I9" s="13">
        <v>0</v>
      </c>
      <c r="J9" s="13">
        <v>0</v>
      </c>
      <c r="K9" s="13">
        <f t="shared" si="0"/>
        <v>28.29</v>
      </c>
      <c r="L9" s="20">
        <v>48.99</v>
      </c>
      <c r="M9" s="13">
        <f t="shared" si="1"/>
        <v>35.992000000000004</v>
      </c>
      <c r="N9" s="15">
        <f t="shared" si="2"/>
        <v>7.7020000000000053</v>
      </c>
      <c r="O9" s="16">
        <f t="shared" si="3"/>
        <v>0.2722516790385297</v>
      </c>
      <c r="P9" s="14">
        <f t="shared" si="4"/>
        <v>6.3606855362243531</v>
      </c>
    </row>
    <row r="10" spans="2:16" x14ac:dyDescent="0.25">
      <c r="B10" s="12" t="s">
        <v>5</v>
      </c>
      <c r="C10" s="12">
        <v>50</v>
      </c>
      <c r="D10" s="13">
        <v>0.9</v>
      </c>
      <c r="E10" s="13">
        <v>0.35</v>
      </c>
      <c r="F10" s="13">
        <v>0.09</v>
      </c>
      <c r="G10" s="13">
        <v>1</v>
      </c>
      <c r="H10" s="13">
        <v>0</v>
      </c>
      <c r="I10" s="13">
        <v>0</v>
      </c>
      <c r="J10" s="13">
        <v>0</v>
      </c>
      <c r="K10" s="13">
        <f t="shared" si="0"/>
        <v>46.440000000000005</v>
      </c>
      <c r="L10" s="20">
        <v>75.989999999999995</v>
      </c>
      <c r="M10" s="13">
        <f t="shared" si="1"/>
        <v>57.591999999999999</v>
      </c>
      <c r="N10" s="15">
        <f t="shared" si="2"/>
        <v>11.151999999999994</v>
      </c>
      <c r="O10" s="16">
        <f t="shared" si="3"/>
        <v>0.24013781223083533</v>
      </c>
      <c r="P10" s="14">
        <f t="shared" si="4"/>
        <v>6.8140243902439055</v>
      </c>
    </row>
    <row r="11" spans="2:16" x14ac:dyDescent="0.25">
      <c r="B11" s="12" t="s">
        <v>5</v>
      </c>
      <c r="C11" s="12">
        <v>60</v>
      </c>
      <c r="D11" s="13">
        <v>0.9</v>
      </c>
      <c r="E11" s="13">
        <v>0.35</v>
      </c>
      <c r="F11" s="13">
        <v>0.09</v>
      </c>
      <c r="G11" s="13">
        <v>1</v>
      </c>
      <c r="H11" s="13">
        <v>0</v>
      </c>
      <c r="I11" s="13">
        <v>0</v>
      </c>
      <c r="J11" s="13">
        <v>0</v>
      </c>
      <c r="K11" s="13">
        <f t="shared" si="0"/>
        <v>55.440000000000005</v>
      </c>
      <c r="L11" s="20">
        <v>88.75</v>
      </c>
      <c r="M11" s="13">
        <f>(L11-4)*0.8</f>
        <v>67.8</v>
      </c>
      <c r="N11" s="15">
        <f t="shared" si="2"/>
        <v>12.359999999999992</v>
      </c>
      <c r="O11" s="16">
        <f t="shared" si="3"/>
        <v>0.22294372294372278</v>
      </c>
      <c r="P11" s="14">
        <f t="shared" si="4"/>
        <v>7.1804207119741141</v>
      </c>
    </row>
    <row r="12" spans="2:16" x14ac:dyDescent="0.25">
      <c r="B12" s="12" t="s">
        <v>5</v>
      </c>
      <c r="C12" s="12">
        <v>75</v>
      </c>
      <c r="D12" s="13">
        <v>0.9</v>
      </c>
      <c r="E12" s="13">
        <v>0.4</v>
      </c>
      <c r="F12" s="13">
        <v>0.09</v>
      </c>
      <c r="G12" s="22">
        <v>1</v>
      </c>
      <c r="H12" s="13">
        <v>0</v>
      </c>
      <c r="I12" s="13">
        <v>0</v>
      </c>
      <c r="J12" s="13">
        <v>0</v>
      </c>
      <c r="K12" s="13">
        <f t="shared" si="0"/>
        <v>68.990000000000009</v>
      </c>
      <c r="L12" s="20">
        <v>108.99</v>
      </c>
      <c r="M12" s="13">
        <f t="shared" si="1"/>
        <v>83.992000000000004</v>
      </c>
      <c r="N12" s="15">
        <f t="shared" si="2"/>
        <v>15.001999999999995</v>
      </c>
      <c r="O12" s="16">
        <f t="shared" si="3"/>
        <v>0.21745180460936359</v>
      </c>
      <c r="P12" s="14">
        <f t="shared" si="4"/>
        <v>7.2650313291561144</v>
      </c>
    </row>
    <row r="13" spans="2:16" x14ac:dyDescent="0.25">
      <c r="B13" s="12" t="s">
        <v>5</v>
      </c>
      <c r="C13" s="12">
        <v>100</v>
      </c>
      <c r="D13" s="13">
        <v>0.9</v>
      </c>
      <c r="E13" s="13">
        <v>0.4</v>
      </c>
      <c r="F13" s="13">
        <v>0.09</v>
      </c>
      <c r="G13" s="13">
        <v>1</v>
      </c>
      <c r="H13" s="13">
        <v>0</v>
      </c>
      <c r="I13" s="13">
        <v>0</v>
      </c>
      <c r="J13" s="13">
        <v>0</v>
      </c>
      <c r="K13" s="13">
        <f t="shared" si="0"/>
        <v>91.490000000000009</v>
      </c>
      <c r="L13" s="20">
        <v>139.99</v>
      </c>
      <c r="M13" s="13">
        <f t="shared" si="1"/>
        <v>108.79200000000002</v>
      </c>
      <c r="N13" s="15">
        <f t="shared" si="2"/>
        <v>17.302000000000007</v>
      </c>
      <c r="O13" s="16">
        <f t="shared" si="3"/>
        <v>0.18911356432396989</v>
      </c>
      <c r="P13" s="14">
        <f t="shared" si="4"/>
        <v>8.0909721419489049</v>
      </c>
    </row>
    <row r="14" spans="2:16" x14ac:dyDescent="0.25">
      <c r="B14" s="12" t="s">
        <v>5</v>
      </c>
      <c r="C14" s="12">
        <v>150</v>
      </c>
      <c r="D14" s="13">
        <v>0.9</v>
      </c>
      <c r="E14" s="13">
        <v>0.93</v>
      </c>
      <c r="F14" s="13">
        <v>0.09</v>
      </c>
      <c r="G14" s="13">
        <v>1</v>
      </c>
      <c r="H14" s="13">
        <v>0</v>
      </c>
      <c r="I14" s="13">
        <v>0</v>
      </c>
      <c r="J14" s="13">
        <v>0</v>
      </c>
      <c r="K14" s="13">
        <f>(D14*C14)+E14+F14+G14+H66+I14+J14</f>
        <v>137.02000000000001</v>
      </c>
      <c r="L14" s="20">
        <v>202.75</v>
      </c>
      <c r="M14" s="13">
        <f t="shared" si="1"/>
        <v>159</v>
      </c>
      <c r="N14" s="15">
        <f t="shared" si="2"/>
        <v>21.97999999999999</v>
      </c>
      <c r="O14" s="16">
        <f t="shared" si="3"/>
        <v>0.16041453802364611</v>
      </c>
      <c r="P14" s="14">
        <f t="shared" si="4"/>
        <v>9.224294813466793</v>
      </c>
    </row>
    <row r="15" spans="2:16" x14ac:dyDescent="0.25">
      <c r="B15" s="12" t="s">
        <v>5</v>
      </c>
      <c r="C15" s="12">
        <v>200</v>
      </c>
      <c r="D15" s="13">
        <v>0.9</v>
      </c>
      <c r="E15" s="13">
        <v>0.93</v>
      </c>
      <c r="F15" s="13">
        <v>0.09</v>
      </c>
      <c r="G15" s="13">
        <v>1</v>
      </c>
      <c r="H15" s="13">
        <v>0</v>
      </c>
      <c r="I15" s="13">
        <v>0</v>
      </c>
      <c r="J15" s="13">
        <v>0</v>
      </c>
      <c r="K15" s="13">
        <f t="shared" ref="K15" si="5">(D15*C15)+E15+F15+G15+H67+I15+J15</f>
        <v>182.02</v>
      </c>
      <c r="L15" s="20">
        <v>265.99</v>
      </c>
      <c r="M15" s="13">
        <f t="shared" si="1"/>
        <v>209.59200000000001</v>
      </c>
      <c r="N15" s="15">
        <f t="shared" si="2"/>
        <v>27.572000000000003</v>
      </c>
      <c r="O15" s="16">
        <f t="shared" si="3"/>
        <v>0.15147785957587079</v>
      </c>
      <c r="P15" s="14">
        <f t="shared" si="4"/>
        <v>9.6471057594661236</v>
      </c>
    </row>
    <row r="16" spans="2:16" x14ac:dyDescent="0.25">
      <c r="B16" s="9" t="s">
        <v>0</v>
      </c>
      <c r="C16" s="9" t="s">
        <v>1</v>
      </c>
      <c r="D16" s="9" t="s">
        <v>23</v>
      </c>
      <c r="E16" s="9" t="s">
        <v>2</v>
      </c>
      <c r="F16" s="9" t="s">
        <v>14</v>
      </c>
      <c r="G16" s="9" t="s">
        <v>3</v>
      </c>
      <c r="H16" s="9" t="s">
        <v>13</v>
      </c>
      <c r="I16" s="9" t="s">
        <v>19</v>
      </c>
      <c r="J16" s="9" t="s">
        <v>18</v>
      </c>
      <c r="K16" s="9" t="s">
        <v>15</v>
      </c>
      <c r="L16" s="10" t="s">
        <v>16</v>
      </c>
      <c r="M16" s="9" t="s">
        <v>20</v>
      </c>
      <c r="N16" s="9" t="s">
        <v>22</v>
      </c>
      <c r="O16" s="11" t="s">
        <v>21</v>
      </c>
      <c r="P16" s="9" t="s">
        <v>17</v>
      </c>
    </row>
    <row r="17" spans="2:16" x14ac:dyDescent="0.25">
      <c r="B17" s="1" t="s">
        <v>4</v>
      </c>
      <c r="C17" s="1">
        <v>1</v>
      </c>
      <c r="D17" s="2">
        <v>2.2599999999999998</v>
      </c>
      <c r="E17" s="2">
        <v>0.5</v>
      </c>
      <c r="F17" s="2">
        <v>0.05</v>
      </c>
      <c r="G17" s="2">
        <v>1</v>
      </c>
      <c r="H17" s="13">
        <v>0</v>
      </c>
      <c r="I17" s="13">
        <v>0</v>
      </c>
      <c r="J17" s="2">
        <v>0</v>
      </c>
      <c r="K17" s="2">
        <f t="shared" ref="K17:K22" si="6">(D17*C17)+E17+G17+F17+H17+I17+J17</f>
        <v>3.8099999999999996</v>
      </c>
      <c r="L17" s="21">
        <v>16.75</v>
      </c>
      <c r="M17" s="13">
        <f t="shared" si="1"/>
        <v>10.200000000000001</v>
      </c>
      <c r="N17" s="15">
        <f t="shared" si="2"/>
        <v>6.3900000000000015</v>
      </c>
      <c r="O17" s="16">
        <f t="shared" si="3"/>
        <v>1.6771653543307092</v>
      </c>
      <c r="P17" s="14">
        <f t="shared" si="4"/>
        <v>2.6212832550860714</v>
      </c>
    </row>
    <row r="18" spans="2:16" x14ac:dyDescent="0.25">
      <c r="B18" s="1" t="s">
        <v>4</v>
      </c>
      <c r="C18" s="1">
        <v>5</v>
      </c>
      <c r="D18" s="2">
        <v>2.2599999999999998</v>
      </c>
      <c r="E18" s="2">
        <v>0.5</v>
      </c>
      <c r="F18" s="2">
        <v>0.05</v>
      </c>
      <c r="G18" s="2">
        <v>1</v>
      </c>
      <c r="H18" s="13">
        <v>0</v>
      </c>
      <c r="I18" s="13">
        <v>0</v>
      </c>
      <c r="J18" s="2">
        <v>0</v>
      </c>
      <c r="K18" s="2">
        <f t="shared" si="6"/>
        <v>12.85</v>
      </c>
      <c r="L18" s="21">
        <v>27.78</v>
      </c>
      <c r="M18" s="13">
        <f t="shared" si="1"/>
        <v>19.024000000000001</v>
      </c>
      <c r="N18" s="15">
        <f t="shared" si="2"/>
        <v>6.1740000000000013</v>
      </c>
      <c r="O18" s="16">
        <f t="shared" si="3"/>
        <v>0.48046692607003905</v>
      </c>
      <c r="P18" s="14">
        <f>L18/N18</f>
        <v>4.4995140913508251</v>
      </c>
    </row>
    <row r="19" spans="2:16" x14ac:dyDescent="0.25">
      <c r="B19" s="1" t="s">
        <v>4</v>
      </c>
      <c r="C19" s="1">
        <v>7</v>
      </c>
      <c r="D19" s="2">
        <v>2.2599999999999998</v>
      </c>
      <c r="E19" s="2">
        <v>0.5</v>
      </c>
      <c r="F19" s="2">
        <v>0.05</v>
      </c>
      <c r="G19" s="2">
        <v>1</v>
      </c>
      <c r="H19" s="13">
        <v>0</v>
      </c>
      <c r="I19" s="13">
        <v>0</v>
      </c>
      <c r="J19" s="2">
        <v>0</v>
      </c>
      <c r="K19" s="2">
        <f t="shared" si="6"/>
        <v>17.37</v>
      </c>
      <c r="L19" s="21">
        <v>36.880000000000003</v>
      </c>
      <c r="M19" s="13">
        <f t="shared" si="1"/>
        <v>26.304000000000002</v>
      </c>
      <c r="N19" s="15">
        <f t="shared" si="2"/>
        <v>8.9340000000000011</v>
      </c>
      <c r="O19" s="16">
        <f t="shared" si="3"/>
        <v>0.51433506044905009</v>
      </c>
      <c r="P19" s="14">
        <f>L19/N19</f>
        <v>4.128050145511529</v>
      </c>
    </row>
    <row r="20" spans="2:16" x14ac:dyDescent="0.25">
      <c r="B20" s="1" t="s">
        <v>4</v>
      </c>
      <c r="C20" s="1">
        <v>8</v>
      </c>
      <c r="D20" s="2">
        <v>2.2599999999999998</v>
      </c>
      <c r="E20" s="2">
        <v>0.5</v>
      </c>
      <c r="F20" s="2">
        <v>0.05</v>
      </c>
      <c r="G20" s="2">
        <v>1</v>
      </c>
      <c r="H20" s="13">
        <v>0</v>
      </c>
      <c r="I20" s="13">
        <v>0</v>
      </c>
      <c r="J20" s="2">
        <v>0</v>
      </c>
      <c r="K20" s="2">
        <f t="shared" si="6"/>
        <v>19.63</v>
      </c>
      <c r="L20" s="21">
        <v>39.99</v>
      </c>
      <c r="M20" s="13">
        <f t="shared" si="1"/>
        <v>28.792000000000002</v>
      </c>
      <c r="N20" s="15">
        <f t="shared" si="2"/>
        <v>9.1620000000000026</v>
      </c>
      <c r="O20" s="16">
        <f t="shared" si="3"/>
        <v>0.466734589913398</v>
      </c>
      <c r="P20" s="14">
        <f>L20/N20</f>
        <v>4.3647675180091676</v>
      </c>
    </row>
    <row r="21" spans="2:16" x14ac:dyDescent="0.25">
      <c r="B21" s="1" t="s">
        <v>4</v>
      </c>
      <c r="C21" s="1">
        <v>10</v>
      </c>
      <c r="D21" s="2">
        <v>2.2599999999999998</v>
      </c>
      <c r="E21" s="2">
        <v>0.5</v>
      </c>
      <c r="F21" s="2">
        <v>0.05</v>
      </c>
      <c r="G21" s="2">
        <v>1</v>
      </c>
      <c r="H21" s="13">
        <v>0</v>
      </c>
      <c r="I21" s="13">
        <v>0</v>
      </c>
      <c r="J21" s="2">
        <v>0</v>
      </c>
      <c r="K21" s="2">
        <f t="shared" si="6"/>
        <v>24.15</v>
      </c>
      <c r="L21" s="21">
        <v>45.49</v>
      </c>
      <c r="M21" s="13">
        <f t="shared" si="1"/>
        <v>33.192</v>
      </c>
      <c r="N21" s="15">
        <f t="shared" si="2"/>
        <v>9.0420000000000016</v>
      </c>
      <c r="O21" s="16">
        <f t="shared" si="3"/>
        <v>0.37440993788819882</v>
      </c>
      <c r="P21" s="14">
        <f>L21/N21</f>
        <v>5.0309666003096654</v>
      </c>
    </row>
    <row r="22" spans="2:16" x14ac:dyDescent="0.25">
      <c r="B22" s="1" t="s">
        <v>4</v>
      </c>
      <c r="C22" s="1">
        <v>15</v>
      </c>
      <c r="D22" s="2">
        <v>2.2599999999999998</v>
      </c>
      <c r="E22" s="2">
        <v>0.5</v>
      </c>
      <c r="F22" s="2">
        <v>0.05</v>
      </c>
      <c r="G22" s="2">
        <v>1</v>
      </c>
      <c r="H22" s="13">
        <v>0</v>
      </c>
      <c r="I22" s="13">
        <v>0</v>
      </c>
      <c r="J22" s="2">
        <v>0</v>
      </c>
      <c r="K22" s="2">
        <f t="shared" si="6"/>
        <v>35.449999999999996</v>
      </c>
      <c r="L22" s="21">
        <v>66.989999999999995</v>
      </c>
      <c r="M22" s="13">
        <f t="shared" si="1"/>
        <v>50.391999999999996</v>
      </c>
      <c r="N22" s="15">
        <f t="shared" si="2"/>
        <v>14.942</v>
      </c>
      <c r="O22" s="16">
        <f t="shared" si="3"/>
        <v>0.42149506346967563</v>
      </c>
      <c r="P22" s="14">
        <f>L22/N22</f>
        <v>4.4833355641815018</v>
      </c>
    </row>
    <row r="23" spans="2:16" x14ac:dyDescent="0.25">
      <c r="B23" s="9" t="s">
        <v>0</v>
      </c>
      <c r="C23" s="9" t="s">
        <v>1</v>
      </c>
      <c r="D23" s="9" t="s">
        <v>23</v>
      </c>
      <c r="E23" s="9" t="s">
        <v>2</v>
      </c>
      <c r="F23" s="9" t="s">
        <v>14</v>
      </c>
      <c r="G23" s="9" t="s">
        <v>3</v>
      </c>
      <c r="H23" s="9" t="s">
        <v>13</v>
      </c>
      <c r="I23" s="9" t="s">
        <v>19</v>
      </c>
      <c r="J23" s="9" t="s">
        <v>18</v>
      </c>
      <c r="K23" s="9" t="s">
        <v>15</v>
      </c>
      <c r="L23" s="10" t="s">
        <v>16</v>
      </c>
      <c r="M23" s="9" t="s">
        <v>20</v>
      </c>
      <c r="N23" s="9" t="s">
        <v>22</v>
      </c>
      <c r="O23" s="11" t="s">
        <v>21</v>
      </c>
      <c r="P23" s="9" t="s">
        <v>17</v>
      </c>
    </row>
    <row r="24" spans="2:16" x14ac:dyDescent="0.25">
      <c r="B24" s="1" t="s">
        <v>28</v>
      </c>
      <c r="C24" s="1">
        <v>1</v>
      </c>
      <c r="D24" s="2">
        <v>3</v>
      </c>
      <c r="E24" s="2">
        <v>0.5</v>
      </c>
      <c r="F24" s="2">
        <v>0.05</v>
      </c>
      <c r="G24" s="2">
        <v>1</v>
      </c>
      <c r="H24" s="13">
        <v>0</v>
      </c>
      <c r="I24" s="13">
        <v>0</v>
      </c>
      <c r="J24" s="2">
        <v>0</v>
      </c>
      <c r="K24" s="2">
        <f t="shared" ref="K24:K29" si="7">(D24*C24)+E24+G24+F24+H24+I24+J24</f>
        <v>4.55</v>
      </c>
      <c r="L24" s="21">
        <v>10.5</v>
      </c>
      <c r="M24" s="13">
        <f t="shared" ref="M24:M29" si="8">(L24-4)*0.8</f>
        <v>5.2</v>
      </c>
      <c r="N24" s="15">
        <f t="shared" ref="N24:N29" si="9">M24-K24</f>
        <v>0.65000000000000036</v>
      </c>
      <c r="O24" s="16">
        <f t="shared" ref="O24:O29" si="10">(N24/K24)</f>
        <v>0.14285714285714293</v>
      </c>
      <c r="P24" s="14">
        <f t="shared" ref="P24:P29" si="11">L24/N24</f>
        <v>16.153846153846146</v>
      </c>
    </row>
    <row r="25" spans="2:16" x14ac:dyDescent="0.25">
      <c r="B25" s="1" t="s">
        <v>28</v>
      </c>
      <c r="C25" s="1">
        <v>5</v>
      </c>
      <c r="D25" s="2">
        <v>3</v>
      </c>
      <c r="E25" s="2">
        <v>0.5</v>
      </c>
      <c r="F25" s="2">
        <v>0.05</v>
      </c>
      <c r="G25" s="2">
        <v>1</v>
      </c>
      <c r="H25" s="22">
        <v>0</v>
      </c>
      <c r="I25" s="13">
        <v>0</v>
      </c>
      <c r="J25" s="2">
        <v>0</v>
      </c>
      <c r="K25" s="2">
        <f t="shared" si="7"/>
        <v>16.55</v>
      </c>
      <c r="L25" s="21">
        <v>25.35</v>
      </c>
      <c r="M25" s="13">
        <f t="shared" si="8"/>
        <v>17.080000000000002</v>
      </c>
      <c r="N25" s="15">
        <f t="shared" si="9"/>
        <v>0.53000000000000114</v>
      </c>
      <c r="O25" s="16">
        <f t="shared" si="10"/>
        <v>3.2024169184290095E-2</v>
      </c>
      <c r="P25" s="14">
        <f t="shared" si="11"/>
        <v>47.830188679245182</v>
      </c>
    </row>
    <row r="26" spans="2:16" x14ac:dyDescent="0.25">
      <c r="B26" s="1" t="s">
        <v>28</v>
      </c>
      <c r="C26" s="1">
        <v>7</v>
      </c>
      <c r="D26" s="2">
        <v>3</v>
      </c>
      <c r="E26" s="2">
        <v>0.5</v>
      </c>
      <c r="F26" s="2">
        <v>0.05</v>
      </c>
      <c r="G26" s="2">
        <v>1</v>
      </c>
      <c r="H26" s="13">
        <v>0</v>
      </c>
      <c r="I26" s="13">
        <v>0</v>
      </c>
      <c r="J26" s="2">
        <v>0</v>
      </c>
      <c r="K26" s="2">
        <f t="shared" si="7"/>
        <v>22.55</v>
      </c>
      <c r="L26" s="21">
        <v>32.99</v>
      </c>
      <c r="M26" s="13">
        <f t="shared" si="8"/>
        <v>23.192000000000004</v>
      </c>
      <c r="N26" s="15">
        <f t="shared" si="9"/>
        <v>0.64200000000000301</v>
      </c>
      <c r="O26" s="16">
        <f t="shared" si="10"/>
        <v>2.8470066518847141E-2</v>
      </c>
      <c r="P26" s="14">
        <f t="shared" si="11"/>
        <v>51.386292834890725</v>
      </c>
    </row>
    <row r="27" spans="2:16" x14ac:dyDescent="0.25">
      <c r="B27" s="1" t="s">
        <v>28</v>
      </c>
      <c r="C27" s="1">
        <v>8</v>
      </c>
      <c r="D27" s="2">
        <v>3</v>
      </c>
      <c r="E27" s="2">
        <v>0.5</v>
      </c>
      <c r="F27" s="2">
        <v>0.05</v>
      </c>
      <c r="G27" s="2">
        <v>1</v>
      </c>
      <c r="H27" s="13">
        <v>0</v>
      </c>
      <c r="I27" s="13">
        <v>0</v>
      </c>
      <c r="J27" s="2">
        <v>0</v>
      </c>
      <c r="K27" s="2">
        <f t="shared" si="7"/>
        <v>25.55</v>
      </c>
      <c r="L27" s="21">
        <v>36.590000000000003</v>
      </c>
      <c r="M27" s="13">
        <f t="shared" si="8"/>
        <v>26.072000000000003</v>
      </c>
      <c r="N27" s="15">
        <f t="shared" si="9"/>
        <v>0.52200000000000202</v>
      </c>
      <c r="O27" s="16">
        <f t="shared" si="10"/>
        <v>2.0430528375733933E-2</v>
      </c>
      <c r="P27" s="14">
        <f t="shared" si="11"/>
        <v>70.095785440612758</v>
      </c>
    </row>
    <row r="28" spans="2:16" x14ac:dyDescent="0.25">
      <c r="B28" s="1" t="s">
        <v>28</v>
      </c>
      <c r="C28" s="1">
        <v>10</v>
      </c>
      <c r="D28" s="2">
        <v>3</v>
      </c>
      <c r="E28" s="2">
        <v>0.5</v>
      </c>
      <c r="F28" s="2">
        <v>0.05</v>
      </c>
      <c r="G28" s="2">
        <v>1</v>
      </c>
      <c r="H28" s="13">
        <v>0</v>
      </c>
      <c r="I28" s="13">
        <v>0</v>
      </c>
      <c r="J28" s="2">
        <v>0</v>
      </c>
      <c r="K28" s="2">
        <f t="shared" si="7"/>
        <v>31.55</v>
      </c>
      <c r="L28" s="21">
        <v>44.49</v>
      </c>
      <c r="M28" s="13">
        <f t="shared" si="8"/>
        <v>32.392000000000003</v>
      </c>
      <c r="N28" s="15">
        <f t="shared" si="9"/>
        <v>0.8420000000000023</v>
      </c>
      <c r="O28" s="16">
        <f t="shared" si="10"/>
        <v>2.6687797147385176E-2</v>
      </c>
      <c r="P28" s="14">
        <f t="shared" si="11"/>
        <v>52.838479809976107</v>
      </c>
    </row>
    <row r="29" spans="2:16" x14ac:dyDescent="0.25">
      <c r="B29" s="1" t="s">
        <v>28</v>
      </c>
      <c r="C29" s="1">
        <v>15</v>
      </c>
      <c r="D29" s="2">
        <v>3</v>
      </c>
      <c r="E29" s="2">
        <v>0.5</v>
      </c>
      <c r="F29" s="2">
        <v>0.05</v>
      </c>
      <c r="G29" s="2">
        <v>1</v>
      </c>
      <c r="H29" s="13">
        <v>0</v>
      </c>
      <c r="I29" s="13">
        <v>0</v>
      </c>
      <c r="J29" s="2">
        <v>0</v>
      </c>
      <c r="K29" s="2">
        <f t="shared" si="7"/>
        <v>46.55</v>
      </c>
      <c r="L29" s="21">
        <v>62.99</v>
      </c>
      <c r="M29" s="13">
        <f t="shared" si="8"/>
        <v>47.192000000000007</v>
      </c>
      <c r="N29" s="15">
        <f t="shared" si="9"/>
        <v>0.64200000000001012</v>
      </c>
      <c r="O29" s="16">
        <f t="shared" si="10"/>
        <v>1.3791621911922881E-2</v>
      </c>
      <c r="P29" s="14">
        <f t="shared" si="11"/>
        <v>98.115264797506242</v>
      </c>
    </row>
    <row r="30" spans="2:16" x14ac:dyDescent="0.25">
      <c r="B30" s="9" t="s">
        <v>0</v>
      </c>
      <c r="C30" s="9" t="s">
        <v>1</v>
      </c>
      <c r="D30" s="9" t="s">
        <v>23</v>
      </c>
      <c r="E30" s="9" t="s">
        <v>2</v>
      </c>
      <c r="F30" s="9" t="s">
        <v>14</v>
      </c>
      <c r="G30" s="9" t="s">
        <v>3</v>
      </c>
      <c r="H30" s="9" t="s">
        <v>13</v>
      </c>
      <c r="I30" s="9" t="s">
        <v>19</v>
      </c>
      <c r="J30" s="9" t="s">
        <v>18</v>
      </c>
      <c r="K30" s="9" t="s">
        <v>15</v>
      </c>
      <c r="L30" s="10" t="s">
        <v>16</v>
      </c>
      <c r="M30" s="9" t="s">
        <v>20</v>
      </c>
      <c r="N30" s="9" t="s">
        <v>22</v>
      </c>
      <c r="O30" s="11" t="s">
        <v>21</v>
      </c>
      <c r="P30" s="9" t="s">
        <v>17</v>
      </c>
    </row>
    <row r="31" spans="2:16" x14ac:dyDescent="0.25">
      <c r="B31" s="1" t="s">
        <v>24</v>
      </c>
      <c r="C31" s="1">
        <v>1</v>
      </c>
      <c r="D31" s="2">
        <v>14.2</v>
      </c>
      <c r="E31" s="2">
        <v>0.5</v>
      </c>
      <c r="F31" s="2">
        <v>0.09</v>
      </c>
      <c r="G31" s="2">
        <v>0.5</v>
      </c>
      <c r="H31" s="13">
        <v>0</v>
      </c>
      <c r="I31" s="13">
        <v>0</v>
      </c>
      <c r="J31" s="2">
        <v>0</v>
      </c>
      <c r="K31" s="2">
        <f>(D31*C31)+E31+G31+F31+H31+I31+J31</f>
        <v>15.29</v>
      </c>
      <c r="L31" s="21">
        <v>24.4</v>
      </c>
      <c r="M31" s="13">
        <f>(L31-4)*0.8</f>
        <v>16.32</v>
      </c>
      <c r="N31" s="15">
        <f t="shared" ref="N31:N35" si="12">M31-K31</f>
        <v>1.0300000000000011</v>
      </c>
      <c r="O31" s="16">
        <f t="shared" ref="O31:O35" si="13">(N31/K31)</f>
        <v>6.7364290385873202E-2</v>
      </c>
      <c r="P31" s="14">
        <f t="shared" ref="P31:P35" si="14">L31/N31</f>
        <v>23.689320388349486</v>
      </c>
    </row>
    <row r="32" spans="2:16" x14ac:dyDescent="0.25">
      <c r="B32" s="1" t="s">
        <v>24</v>
      </c>
      <c r="C32" s="1">
        <v>2</v>
      </c>
      <c r="D32" s="2">
        <v>14.2</v>
      </c>
      <c r="E32" s="2">
        <v>0.5</v>
      </c>
      <c r="F32" s="2">
        <v>0.09</v>
      </c>
      <c r="G32" s="2">
        <v>0.5</v>
      </c>
      <c r="H32" s="13">
        <v>0</v>
      </c>
      <c r="I32" s="13">
        <v>0</v>
      </c>
      <c r="J32" s="2">
        <v>0</v>
      </c>
      <c r="K32" s="2">
        <f>(D32*C32)+E32+G32+F32+H32+I32+J32</f>
        <v>29.49</v>
      </c>
      <c r="L32" s="21">
        <v>42.3</v>
      </c>
      <c r="M32" s="13">
        <f>(L32-4)*0.8</f>
        <v>30.64</v>
      </c>
      <c r="N32" s="15">
        <f t="shared" si="12"/>
        <v>1.1500000000000021</v>
      </c>
      <c r="O32" s="16">
        <f t="shared" si="13"/>
        <v>3.8996269922007533E-2</v>
      </c>
      <c r="P32" s="14">
        <f t="shared" si="14"/>
        <v>36.782608695652101</v>
      </c>
    </row>
    <row r="33" spans="2:16" x14ac:dyDescent="0.25">
      <c r="B33" s="1" t="s">
        <v>24</v>
      </c>
      <c r="C33" s="1">
        <v>4</v>
      </c>
      <c r="D33" s="2">
        <v>14.2</v>
      </c>
      <c r="E33" s="2">
        <v>0.5</v>
      </c>
      <c r="F33" s="19">
        <v>0.09</v>
      </c>
      <c r="G33" s="2">
        <v>0.5</v>
      </c>
      <c r="H33" s="13">
        <v>0</v>
      </c>
      <c r="I33" s="13">
        <v>0</v>
      </c>
      <c r="J33" s="2">
        <v>0</v>
      </c>
      <c r="K33" s="2">
        <f>(D33*C33)+E33+G33+F33+H33+I33+J33</f>
        <v>57.89</v>
      </c>
      <c r="L33" s="21">
        <v>77.650000000000006</v>
      </c>
      <c r="M33" s="13">
        <f>(L33-4)*0.8</f>
        <v>58.920000000000009</v>
      </c>
      <c r="N33" s="15">
        <f t="shared" si="12"/>
        <v>1.0300000000000082</v>
      </c>
      <c r="O33" s="16">
        <f t="shared" si="13"/>
        <v>1.7792364829849857E-2</v>
      </c>
      <c r="P33" s="14">
        <f t="shared" si="14"/>
        <v>75.388349514562506</v>
      </c>
    </row>
    <row r="34" spans="2:16" x14ac:dyDescent="0.25">
      <c r="B34" s="1" t="s">
        <v>24</v>
      </c>
      <c r="C34" s="1">
        <v>6</v>
      </c>
      <c r="D34" s="2">
        <v>14.2</v>
      </c>
      <c r="E34" s="2">
        <v>0.5</v>
      </c>
      <c r="F34" s="2">
        <v>0.09</v>
      </c>
      <c r="G34" s="2">
        <v>0.5</v>
      </c>
      <c r="H34" s="13">
        <v>0</v>
      </c>
      <c r="I34" s="13">
        <v>0</v>
      </c>
      <c r="J34" s="2">
        <v>0</v>
      </c>
      <c r="K34" s="2">
        <f>(D34*C34)+E34+G34+F34+H34+I34+J34</f>
        <v>86.289999999999992</v>
      </c>
      <c r="L34" s="21">
        <v>113.5</v>
      </c>
      <c r="M34" s="13">
        <f>(L34-4)*0.8</f>
        <v>87.600000000000009</v>
      </c>
      <c r="N34" s="15">
        <f t="shared" si="12"/>
        <v>1.3100000000000165</v>
      </c>
      <c r="O34" s="16">
        <f t="shared" si="13"/>
        <v>1.5181365163982113E-2</v>
      </c>
      <c r="P34" s="14">
        <f t="shared" si="14"/>
        <v>86.641221374044704</v>
      </c>
    </row>
    <row r="35" spans="2:16" x14ac:dyDescent="0.25">
      <c r="B35" s="1" t="s">
        <v>24</v>
      </c>
      <c r="C35" s="1">
        <v>10</v>
      </c>
      <c r="D35" s="2">
        <v>14.2</v>
      </c>
      <c r="E35" s="2">
        <v>0.5</v>
      </c>
      <c r="F35" s="2">
        <v>0.09</v>
      </c>
      <c r="G35" s="2">
        <v>0.5</v>
      </c>
      <c r="H35" s="13">
        <v>0</v>
      </c>
      <c r="I35" s="13">
        <v>0</v>
      </c>
      <c r="J35" s="2">
        <v>0</v>
      </c>
      <c r="K35" s="2">
        <f>(D35*C35)+E35+G35+F35+H35+I35+J35</f>
        <v>143.09</v>
      </c>
      <c r="L35" s="21">
        <v>184.5</v>
      </c>
      <c r="M35" s="13">
        <v>144.99</v>
      </c>
      <c r="N35" s="15">
        <f t="shared" si="12"/>
        <v>1.9000000000000057</v>
      </c>
      <c r="O35" s="16">
        <f t="shared" si="13"/>
        <v>1.3278356279264839E-2</v>
      </c>
      <c r="P35" s="14">
        <f t="shared" si="14"/>
        <v>97.105263157894441</v>
      </c>
    </row>
    <row r="36" spans="2:16" x14ac:dyDescent="0.25">
      <c r="B36" s="9" t="s">
        <v>0</v>
      </c>
      <c r="C36" s="9" t="s">
        <v>1</v>
      </c>
      <c r="D36" s="9" t="s">
        <v>23</v>
      </c>
      <c r="E36" s="9" t="s">
        <v>2</v>
      </c>
      <c r="F36" s="9" t="s">
        <v>14</v>
      </c>
      <c r="G36" s="9" t="s">
        <v>3</v>
      </c>
      <c r="H36" s="9" t="s">
        <v>13</v>
      </c>
      <c r="I36" s="9" t="s">
        <v>19</v>
      </c>
      <c r="J36" s="9" t="s">
        <v>18</v>
      </c>
      <c r="K36" s="9" t="s">
        <v>15</v>
      </c>
      <c r="L36" s="10" t="s">
        <v>16</v>
      </c>
      <c r="M36" s="9" t="s">
        <v>20</v>
      </c>
      <c r="N36" s="9" t="s">
        <v>22</v>
      </c>
      <c r="O36" s="11" t="s">
        <v>21</v>
      </c>
      <c r="P36" s="9" t="s">
        <v>17</v>
      </c>
    </row>
    <row r="37" spans="2:16" x14ac:dyDescent="0.25">
      <c r="B37" s="1" t="s">
        <v>25</v>
      </c>
      <c r="C37" s="1">
        <v>1</v>
      </c>
      <c r="D37" s="2">
        <v>3</v>
      </c>
      <c r="E37" s="13">
        <v>0.4</v>
      </c>
      <c r="F37" s="2">
        <v>0.06</v>
      </c>
      <c r="G37" s="2">
        <v>0.5</v>
      </c>
      <c r="H37" s="13">
        <v>0</v>
      </c>
      <c r="I37" s="13">
        <v>0</v>
      </c>
      <c r="J37" s="2">
        <v>0</v>
      </c>
      <c r="K37" s="2">
        <f>(D37*C37)+E37+G37+F37+H37+I37+J37</f>
        <v>3.96</v>
      </c>
      <c r="L37" s="21">
        <v>10.5</v>
      </c>
      <c r="M37" s="13">
        <f>(L37-4)*0.8</f>
        <v>5.2</v>
      </c>
      <c r="N37" s="15">
        <f t="shared" ref="N37:N41" si="15">M37-K37</f>
        <v>1.2400000000000002</v>
      </c>
      <c r="O37" s="16">
        <f t="shared" ref="O37:O41" si="16">(N37/K37)</f>
        <v>0.3131313131313132</v>
      </c>
      <c r="P37" s="14">
        <f t="shared" ref="P37:P41" si="17">L37/N37</f>
        <v>8.4677419354838701</v>
      </c>
    </row>
    <row r="38" spans="2:16" x14ac:dyDescent="0.25">
      <c r="B38" s="1" t="s">
        <v>25</v>
      </c>
      <c r="C38" s="1">
        <v>2</v>
      </c>
      <c r="D38" s="2">
        <v>3</v>
      </c>
      <c r="E38" s="13">
        <v>0.4</v>
      </c>
      <c r="F38" s="2">
        <v>0.06</v>
      </c>
      <c r="G38" s="2">
        <v>0.5</v>
      </c>
      <c r="H38" s="13">
        <v>0</v>
      </c>
      <c r="I38" s="13">
        <v>0</v>
      </c>
      <c r="J38" s="2">
        <v>0</v>
      </c>
      <c r="K38" s="2">
        <f>(D38*C38)+E38+G38+F38+H38+I38+J38</f>
        <v>6.96</v>
      </c>
      <c r="L38" s="21">
        <v>13.99</v>
      </c>
      <c r="M38" s="13">
        <f>(L38-4)*0.8</f>
        <v>7.9920000000000009</v>
      </c>
      <c r="N38" s="15">
        <f t="shared" si="15"/>
        <v>1.0320000000000009</v>
      </c>
      <c r="O38" s="16">
        <f t="shared" si="16"/>
        <v>0.14827586206896565</v>
      </c>
      <c r="P38" s="14">
        <f t="shared" si="17"/>
        <v>13.556201550387586</v>
      </c>
    </row>
    <row r="39" spans="2:16" x14ac:dyDescent="0.25">
      <c r="B39" s="1" t="s">
        <v>25</v>
      </c>
      <c r="C39" s="1">
        <v>4</v>
      </c>
      <c r="D39" s="2">
        <v>3</v>
      </c>
      <c r="E39" s="13">
        <v>0.4</v>
      </c>
      <c r="F39" s="2">
        <v>0.06</v>
      </c>
      <c r="G39" s="2">
        <v>0.5</v>
      </c>
      <c r="H39" s="13">
        <v>0</v>
      </c>
      <c r="I39" s="13">
        <v>0</v>
      </c>
      <c r="J39" s="2">
        <v>0</v>
      </c>
      <c r="K39" s="2">
        <f>(D39*C39)+E39+G39+F39+H39+I39+J39</f>
        <v>12.96</v>
      </c>
      <c r="L39" s="21">
        <v>21.5</v>
      </c>
      <c r="M39" s="13">
        <f>(L39-4)*0.8</f>
        <v>14</v>
      </c>
      <c r="N39" s="15">
        <f t="shared" si="15"/>
        <v>1.0399999999999991</v>
      </c>
      <c r="O39" s="16">
        <f t="shared" si="16"/>
        <v>8.024691358024684E-2</v>
      </c>
      <c r="P39" s="14">
        <f t="shared" si="17"/>
        <v>20.673076923076941</v>
      </c>
    </row>
    <row r="40" spans="2:16" x14ac:dyDescent="0.25">
      <c r="B40" s="1" t="s">
        <v>25</v>
      </c>
      <c r="C40" s="1">
        <v>6</v>
      </c>
      <c r="D40" s="2">
        <v>3</v>
      </c>
      <c r="E40" s="13">
        <v>0.4</v>
      </c>
      <c r="F40" s="2">
        <v>0.06</v>
      </c>
      <c r="G40" s="2">
        <v>0.5</v>
      </c>
      <c r="H40" s="13">
        <v>0</v>
      </c>
      <c r="I40" s="13">
        <v>0</v>
      </c>
      <c r="J40" s="2">
        <v>0</v>
      </c>
      <c r="K40" s="2">
        <f>(D40*C40)+E40+G40+F40+H40+I40+J40</f>
        <v>18.959999999999997</v>
      </c>
      <c r="L40" s="21">
        <v>28.99</v>
      </c>
      <c r="M40" s="13">
        <f>(L40-4)*0.8</f>
        <v>19.992000000000001</v>
      </c>
      <c r="N40" s="15">
        <f t="shared" si="15"/>
        <v>1.0320000000000036</v>
      </c>
      <c r="O40" s="16">
        <f t="shared" si="16"/>
        <v>5.4430379746835643E-2</v>
      </c>
      <c r="P40" s="14">
        <f t="shared" si="17"/>
        <v>28.091085271317731</v>
      </c>
    </row>
    <row r="41" spans="2:16" x14ac:dyDescent="0.25">
      <c r="B41" s="1" t="s">
        <v>25</v>
      </c>
      <c r="C41" s="1">
        <v>8</v>
      </c>
      <c r="D41" s="2">
        <v>3</v>
      </c>
      <c r="E41" s="13">
        <v>0.4</v>
      </c>
      <c r="F41" s="2">
        <v>0.06</v>
      </c>
      <c r="G41" s="2">
        <v>0.5</v>
      </c>
      <c r="H41" s="13">
        <v>0</v>
      </c>
      <c r="I41" s="13">
        <v>0</v>
      </c>
      <c r="J41" s="2">
        <v>0</v>
      </c>
      <c r="K41" s="2">
        <f>(D41*C41)+E41+G41+F41+H41+I41+J41</f>
        <v>24.959999999999997</v>
      </c>
      <c r="L41" s="21">
        <v>36.65</v>
      </c>
      <c r="M41" s="13">
        <f>(L41-4)*0.8</f>
        <v>26.12</v>
      </c>
      <c r="N41" s="15">
        <f t="shared" si="15"/>
        <v>1.1600000000000037</v>
      </c>
      <c r="O41" s="16">
        <f t="shared" si="16"/>
        <v>4.6474358974359128E-2</v>
      </c>
      <c r="P41" s="14">
        <f t="shared" si="17"/>
        <v>31.594827586206794</v>
      </c>
    </row>
    <row r="42" spans="2:16" x14ac:dyDescent="0.25">
      <c r="B42" s="9" t="s">
        <v>0</v>
      </c>
      <c r="C42" s="9" t="s">
        <v>1</v>
      </c>
      <c r="D42" s="9" t="s">
        <v>23</v>
      </c>
      <c r="E42" s="9" t="s">
        <v>2</v>
      </c>
      <c r="F42" s="9" t="s">
        <v>14</v>
      </c>
      <c r="G42" s="9" t="s">
        <v>3</v>
      </c>
      <c r="H42" s="9" t="s">
        <v>13</v>
      </c>
      <c r="I42" s="9" t="s">
        <v>19</v>
      </c>
      <c r="J42" s="9" t="s">
        <v>18</v>
      </c>
      <c r="K42" s="9" t="s">
        <v>15</v>
      </c>
      <c r="L42" s="10" t="s">
        <v>16</v>
      </c>
      <c r="M42" s="9" t="s">
        <v>20</v>
      </c>
      <c r="N42" s="9" t="s">
        <v>22</v>
      </c>
      <c r="O42" s="11" t="s">
        <v>21</v>
      </c>
      <c r="P42" s="9" t="s">
        <v>17</v>
      </c>
    </row>
    <row r="43" spans="2:16" x14ac:dyDescent="0.25">
      <c r="B43" s="1" t="s">
        <v>27</v>
      </c>
      <c r="C43" s="1">
        <v>1</v>
      </c>
      <c r="D43" s="2">
        <v>15.5</v>
      </c>
      <c r="E43" s="13">
        <v>0.4</v>
      </c>
      <c r="F43" s="2">
        <v>0.06</v>
      </c>
      <c r="G43" s="2">
        <v>0.5</v>
      </c>
      <c r="H43" s="13">
        <v>0</v>
      </c>
      <c r="I43" s="13">
        <v>0</v>
      </c>
      <c r="J43" s="2">
        <v>0</v>
      </c>
      <c r="K43" s="2">
        <f>(D43*C43)+E43+G43+F43+H43+I43+J43</f>
        <v>16.459999999999997</v>
      </c>
      <c r="L43" s="21">
        <v>25.99</v>
      </c>
      <c r="M43" s="13">
        <f>(L43-4)*0.8</f>
        <v>17.591999999999999</v>
      </c>
      <c r="N43" s="15">
        <f t="shared" ref="N43:N44" si="18">M43-K43</f>
        <v>1.1320000000000014</v>
      </c>
      <c r="O43" s="16">
        <f t="shared" ref="O43:O44" si="19">(N43/K43)</f>
        <v>6.8772782503037769E-2</v>
      </c>
      <c r="P43" s="14">
        <f t="shared" ref="P43:P44" si="20">L43/N43</f>
        <v>22.959363957597141</v>
      </c>
    </row>
    <row r="44" spans="2:16" x14ac:dyDescent="0.25">
      <c r="B44" s="1" t="s">
        <v>27</v>
      </c>
      <c r="C44" s="1">
        <v>2</v>
      </c>
      <c r="D44" s="2">
        <v>15.5</v>
      </c>
      <c r="E44" s="13">
        <v>0.4</v>
      </c>
      <c r="F44" s="2">
        <v>0.06</v>
      </c>
      <c r="G44" s="2">
        <v>0.5</v>
      </c>
      <c r="H44" s="13">
        <v>0</v>
      </c>
      <c r="I44" s="13">
        <v>0</v>
      </c>
      <c r="J44" s="2">
        <v>0</v>
      </c>
      <c r="K44" s="2">
        <f>(D44*C44)+E44+G44+F44+H44+I44+J44</f>
        <v>31.959999999999997</v>
      </c>
      <c r="L44" s="21">
        <v>45.99</v>
      </c>
      <c r="M44" s="13">
        <f>(L44-4)*0.8</f>
        <v>33.592000000000006</v>
      </c>
      <c r="N44" s="15">
        <f t="shared" si="18"/>
        <v>1.6320000000000086</v>
      </c>
      <c r="O44" s="16">
        <f t="shared" si="19"/>
        <v>5.1063829787234317E-2</v>
      </c>
      <c r="P44" s="14">
        <f t="shared" si="20"/>
        <v>28.180147058823383</v>
      </c>
    </row>
    <row r="49" spans="11:11" x14ac:dyDescent="0.25">
      <c r="K49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A2915-BC35-48D5-946E-329EB88CB62E}">
  <sheetPr codeName="Planilha2"/>
  <dimension ref="C3:T36"/>
  <sheetViews>
    <sheetView topLeftCell="D7" zoomScale="160" zoomScaleNormal="160" workbookViewId="0">
      <selection activeCell="R35" sqref="R35"/>
    </sheetView>
  </sheetViews>
  <sheetFormatPr defaultRowHeight="15" x14ac:dyDescent="0.25"/>
  <cols>
    <col min="3" max="3" width="26.140625" bestFit="1" customWidth="1"/>
    <col min="4" max="4" width="11.42578125" bestFit="1" customWidth="1"/>
    <col min="5" max="6" width="9.28515625" bestFit="1" customWidth="1"/>
    <col min="7" max="11" width="8.140625" bestFit="1" customWidth="1"/>
    <col min="12" max="12" width="9.28515625" bestFit="1" customWidth="1"/>
    <col min="13" max="13" width="8.140625" bestFit="1" customWidth="1"/>
    <col min="17" max="17" width="10.140625" bestFit="1" customWidth="1"/>
    <col min="18" max="18" width="15.28515625" bestFit="1" customWidth="1"/>
    <col min="19" max="19" width="11.42578125" bestFit="1" customWidth="1"/>
    <col min="20" max="20" width="6.140625" bestFit="1" customWidth="1"/>
  </cols>
  <sheetData>
    <row r="3" spans="3:20" ht="45" customHeight="1" x14ac:dyDescent="0.25">
      <c r="C3" s="40" t="s">
        <v>6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</row>
    <row r="4" spans="3:20" ht="24" x14ac:dyDescent="0.25">
      <c r="C4" s="3" t="s">
        <v>7</v>
      </c>
      <c r="D4" s="3" t="s">
        <v>8</v>
      </c>
      <c r="E4" s="38" t="s">
        <v>9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" t="s">
        <v>10</v>
      </c>
      <c r="R4" s="4" t="s">
        <v>26</v>
      </c>
      <c r="S4" s="3" t="s">
        <v>8</v>
      </c>
      <c r="T4" s="3" t="s">
        <v>12</v>
      </c>
    </row>
    <row r="5" spans="3:20" x14ac:dyDescent="0.25">
      <c r="C5" s="1" t="s">
        <v>5</v>
      </c>
      <c r="D5" s="1">
        <v>5</v>
      </c>
      <c r="E5" s="2">
        <v>16.45</v>
      </c>
      <c r="F5" s="2">
        <v>15.61</v>
      </c>
      <c r="G5" s="2"/>
      <c r="H5" s="2">
        <v>20.7</v>
      </c>
      <c r="I5" s="2"/>
      <c r="J5" s="2"/>
      <c r="K5" s="2"/>
      <c r="L5" s="2"/>
      <c r="M5" s="2"/>
      <c r="N5" s="2"/>
      <c r="O5" s="2"/>
      <c r="P5" s="2"/>
      <c r="Q5" s="2">
        <f>AVERAGE(E5:P5)</f>
        <v>17.58666666666667</v>
      </c>
      <c r="R5" s="2">
        <f>Q5*0.95</f>
        <v>16.707333333333334</v>
      </c>
      <c r="S5" s="1">
        <f>D5</f>
        <v>5</v>
      </c>
      <c r="T5" s="17"/>
    </row>
    <row r="6" spans="3:20" x14ac:dyDescent="0.25">
      <c r="C6" s="1" t="s">
        <v>5</v>
      </c>
      <c r="D6" s="1">
        <v>10</v>
      </c>
      <c r="E6" s="2">
        <v>23.55</v>
      </c>
      <c r="F6" s="2">
        <v>29.96</v>
      </c>
      <c r="G6" s="2">
        <v>26.07</v>
      </c>
      <c r="H6" s="2">
        <v>35.700000000000003</v>
      </c>
      <c r="I6" s="2">
        <v>22.41</v>
      </c>
      <c r="J6" s="2"/>
      <c r="K6" s="2"/>
      <c r="L6" s="2"/>
      <c r="M6" s="2"/>
      <c r="N6" s="2"/>
      <c r="O6" s="2"/>
      <c r="P6" s="2"/>
      <c r="Q6" s="2">
        <f t="shared" ref="Q6:Q12" si="0">AVERAGE(E6:P6)</f>
        <v>27.538000000000004</v>
      </c>
      <c r="R6" s="2">
        <f t="shared" ref="R6:R12" si="1">Q6*0.95</f>
        <v>26.161100000000001</v>
      </c>
      <c r="S6" s="1">
        <f t="shared" ref="S6:S12" si="2">D6</f>
        <v>10</v>
      </c>
      <c r="T6" s="17"/>
    </row>
    <row r="7" spans="3:20" x14ac:dyDescent="0.25">
      <c r="C7" s="1" t="s">
        <v>5</v>
      </c>
      <c r="D7" s="1">
        <v>15</v>
      </c>
      <c r="E7" s="2">
        <v>25.97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>
        <f t="shared" si="0"/>
        <v>25.97</v>
      </c>
      <c r="R7" s="2">
        <f t="shared" si="1"/>
        <v>24.671499999999998</v>
      </c>
      <c r="S7" s="1">
        <f t="shared" si="2"/>
        <v>15</v>
      </c>
      <c r="T7" s="17"/>
    </row>
    <row r="8" spans="3:20" x14ac:dyDescent="0.25">
      <c r="C8" s="1" t="s">
        <v>5</v>
      </c>
      <c r="D8" s="1">
        <v>20</v>
      </c>
      <c r="E8" s="2">
        <v>39.770000000000003</v>
      </c>
      <c r="F8" s="2">
        <v>45.97</v>
      </c>
      <c r="G8" s="2">
        <v>37.770000000000003</v>
      </c>
      <c r="H8" s="2"/>
      <c r="I8" s="2">
        <v>37.369999999999997</v>
      </c>
      <c r="J8" s="2"/>
      <c r="K8" s="2"/>
      <c r="L8" s="2"/>
      <c r="M8" s="2"/>
      <c r="N8" s="2"/>
      <c r="O8" s="2"/>
      <c r="P8" s="2"/>
      <c r="Q8" s="2">
        <f t="shared" si="0"/>
        <v>40.220000000000006</v>
      </c>
      <c r="R8" s="2">
        <f t="shared" si="1"/>
        <v>38.209000000000003</v>
      </c>
      <c r="S8" s="1">
        <f t="shared" si="2"/>
        <v>20</v>
      </c>
      <c r="T8" s="17"/>
    </row>
    <row r="9" spans="3:20" x14ac:dyDescent="0.25">
      <c r="C9" s="1" t="s">
        <v>5</v>
      </c>
      <c r="D9" s="1">
        <v>25</v>
      </c>
      <c r="E9" s="2">
        <v>46.75</v>
      </c>
      <c r="F9" s="2">
        <v>43.9</v>
      </c>
      <c r="G9" s="2">
        <v>43.9</v>
      </c>
      <c r="H9" s="2">
        <v>43.9</v>
      </c>
      <c r="I9" s="2">
        <v>43.9</v>
      </c>
      <c r="J9" s="2"/>
      <c r="K9" s="2"/>
      <c r="L9" s="2"/>
      <c r="M9" s="2"/>
      <c r="N9" s="2"/>
      <c r="O9" s="2"/>
      <c r="P9" s="2"/>
      <c r="Q9" s="2">
        <f t="shared" si="0"/>
        <v>44.470000000000006</v>
      </c>
      <c r="R9" s="2">
        <f t="shared" si="1"/>
        <v>42.246500000000005</v>
      </c>
      <c r="S9" s="1">
        <f t="shared" si="2"/>
        <v>25</v>
      </c>
      <c r="T9" s="17"/>
    </row>
    <row r="10" spans="3:20" x14ac:dyDescent="0.25">
      <c r="C10" s="1" t="s">
        <v>5</v>
      </c>
      <c r="D10" s="1">
        <v>30</v>
      </c>
      <c r="E10" s="2">
        <v>53.97</v>
      </c>
      <c r="F10" s="2">
        <v>62.97</v>
      </c>
      <c r="G10" s="2">
        <v>50.73</v>
      </c>
      <c r="H10" s="2">
        <v>50.97</v>
      </c>
      <c r="I10" s="2"/>
      <c r="J10" s="2"/>
      <c r="K10" s="2"/>
      <c r="L10" s="2"/>
      <c r="M10" s="2"/>
      <c r="N10" s="2"/>
      <c r="O10" s="2"/>
      <c r="P10" s="2"/>
      <c r="Q10" s="2">
        <f t="shared" si="0"/>
        <v>54.66</v>
      </c>
      <c r="R10" s="2">
        <f t="shared" si="1"/>
        <v>51.926999999999992</v>
      </c>
      <c r="S10" s="1">
        <f t="shared" si="2"/>
        <v>30</v>
      </c>
      <c r="T10" s="17"/>
    </row>
    <row r="11" spans="3:20" x14ac:dyDescent="0.25">
      <c r="C11" s="1" t="s">
        <v>5</v>
      </c>
      <c r="D11" s="1">
        <v>40</v>
      </c>
      <c r="E11" s="2"/>
      <c r="F11" s="2"/>
      <c r="G11" s="2"/>
      <c r="H11" s="2"/>
      <c r="I11" s="2"/>
      <c r="J11" s="2"/>
      <c r="K11" s="2"/>
      <c r="L11" s="2"/>
      <c r="M11" s="19"/>
      <c r="N11" s="2"/>
      <c r="O11" s="2"/>
      <c r="P11" s="2"/>
      <c r="Q11" s="2">
        <v>0</v>
      </c>
      <c r="R11" s="2">
        <f t="shared" si="1"/>
        <v>0</v>
      </c>
      <c r="S11" s="1">
        <f t="shared" si="2"/>
        <v>40</v>
      </c>
      <c r="T11" s="17"/>
    </row>
    <row r="12" spans="3:20" x14ac:dyDescent="0.25">
      <c r="C12" s="1" t="s">
        <v>5</v>
      </c>
      <c r="D12" s="1">
        <v>50</v>
      </c>
      <c r="E12" s="2">
        <v>79.989999999999995</v>
      </c>
      <c r="F12" s="2">
        <v>99.97</v>
      </c>
      <c r="G12" s="2">
        <v>87.9</v>
      </c>
      <c r="H12" s="2">
        <v>87.9</v>
      </c>
      <c r="I12" s="2">
        <v>79.66</v>
      </c>
      <c r="J12" s="2">
        <v>87.9</v>
      </c>
      <c r="K12" s="2">
        <v>87.9</v>
      </c>
      <c r="L12" s="2">
        <v>116</v>
      </c>
      <c r="M12" s="2"/>
      <c r="N12" s="2"/>
      <c r="O12" s="2"/>
      <c r="P12" s="2"/>
      <c r="Q12" s="2">
        <f t="shared" si="0"/>
        <v>90.902499999999989</v>
      </c>
      <c r="R12" s="2">
        <f t="shared" si="1"/>
        <v>86.35737499999999</v>
      </c>
      <c r="S12" s="1">
        <f t="shared" si="2"/>
        <v>50</v>
      </c>
      <c r="T12" s="17"/>
    </row>
    <row r="13" spans="3:20" ht="24" x14ac:dyDescent="0.25">
      <c r="C13" s="3" t="s">
        <v>7</v>
      </c>
      <c r="D13" s="3" t="s">
        <v>8</v>
      </c>
      <c r="E13" s="38" t="s">
        <v>9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" t="s">
        <v>10</v>
      </c>
      <c r="R13" s="4" t="s">
        <v>26</v>
      </c>
      <c r="S13" s="3" t="s">
        <v>8</v>
      </c>
      <c r="T13" s="3" t="s">
        <v>12</v>
      </c>
    </row>
    <row r="14" spans="3:20" x14ac:dyDescent="0.25">
      <c r="C14" s="1" t="s">
        <v>11</v>
      </c>
      <c r="D14" s="6">
        <v>1</v>
      </c>
      <c r="E14" s="7"/>
      <c r="F14" s="7">
        <v>26.19</v>
      </c>
      <c r="G14" s="7">
        <v>26.58</v>
      </c>
      <c r="H14" s="7">
        <v>30.5</v>
      </c>
      <c r="I14" s="7">
        <v>30.5</v>
      </c>
      <c r="J14" s="7">
        <v>36.92</v>
      </c>
      <c r="K14" s="23"/>
      <c r="L14" s="7"/>
      <c r="M14" s="7"/>
      <c r="N14" s="7"/>
      <c r="O14" s="7"/>
      <c r="P14" s="7"/>
      <c r="Q14" s="2">
        <f t="shared" ref="Q14:Q19" si="3">AVERAGE(E14:P14)</f>
        <v>30.137999999999998</v>
      </c>
      <c r="R14" s="2">
        <f>Q14*0.95</f>
        <v>28.631099999999996</v>
      </c>
      <c r="S14" s="1">
        <v>1</v>
      </c>
      <c r="T14" s="17">
        <v>4.5</v>
      </c>
    </row>
    <row r="15" spans="3:20" x14ac:dyDescent="0.25">
      <c r="C15" s="1" t="s">
        <v>11</v>
      </c>
      <c r="D15" s="1">
        <v>2</v>
      </c>
      <c r="E15" s="23"/>
      <c r="F15" s="7"/>
      <c r="G15" s="7">
        <v>50.9</v>
      </c>
      <c r="H15" s="7">
        <v>47.19</v>
      </c>
      <c r="I15" s="7">
        <v>42.5</v>
      </c>
      <c r="J15" s="7">
        <v>56.86</v>
      </c>
      <c r="K15" s="7">
        <v>56.86</v>
      </c>
      <c r="L15" s="7">
        <v>72.959999999999994</v>
      </c>
      <c r="M15" s="7"/>
      <c r="N15" s="7"/>
      <c r="O15" s="7"/>
      <c r="P15" s="7"/>
      <c r="Q15" s="2">
        <f t="shared" si="3"/>
        <v>54.544999999999995</v>
      </c>
      <c r="R15" s="2">
        <f t="shared" ref="R15:R19" si="4">Q15*0.95</f>
        <v>51.81774999999999</v>
      </c>
      <c r="S15" s="1">
        <v>2</v>
      </c>
      <c r="T15" s="17">
        <v>8.11</v>
      </c>
    </row>
    <row r="16" spans="3:20" x14ac:dyDescent="0.25">
      <c r="C16" s="1" t="s">
        <v>11</v>
      </c>
      <c r="D16" s="1">
        <v>4</v>
      </c>
      <c r="E16" s="23"/>
      <c r="F16" s="7"/>
      <c r="G16" s="7">
        <v>99.9</v>
      </c>
      <c r="H16" s="7">
        <v>93.9</v>
      </c>
      <c r="I16" s="7">
        <v>76.8</v>
      </c>
      <c r="J16" s="7">
        <v>99.91</v>
      </c>
      <c r="K16" s="7">
        <v>99.9</v>
      </c>
      <c r="L16" s="7">
        <v>134.76</v>
      </c>
      <c r="M16" s="7"/>
      <c r="N16" s="7"/>
      <c r="O16" s="7"/>
      <c r="P16" s="7"/>
      <c r="Q16" s="2">
        <f t="shared" si="3"/>
        <v>100.86166666666666</v>
      </c>
      <c r="R16" s="2">
        <f t="shared" si="4"/>
        <v>95.818583333333322</v>
      </c>
      <c r="S16" s="1">
        <f>D16</f>
        <v>4</v>
      </c>
      <c r="T16" s="17">
        <v>13.82</v>
      </c>
    </row>
    <row r="17" spans="3:20" x14ac:dyDescent="0.25">
      <c r="C17" s="1" t="s">
        <v>11</v>
      </c>
      <c r="D17" s="1">
        <v>6</v>
      </c>
      <c r="E17" s="7"/>
      <c r="F17" s="7">
        <v>164.7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2">
        <f t="shared" si="3"/>
        <v>164.7</v>
      </c>
      <c r="R17" s="2">
        <f t="shared" si="4"/>
        <v>156.46499999999997</v>
      </c>
      <c r="S17" s="1">
        <f>D17</f>
        <v>6</v>
      </c>
      <c r="T17" s="17">
        <v>31.5</v>
      </c>
    </row>
    <row r="18" spans="3:20" x14ac:dyDescent="0.25">
      <c r="C18" s="1" t="s">
        <v>11</v>
      </c>
      <c r="D18" s="1">
        <v>8</v>
      </c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2" t="e">
        <f t="shared" si="3"/>
        <v>#DIV/0!</v>
      </c>
      <c r="R18" s="2" t="e">
        <f t="shared" si="4"/>
        <v>#DIV/0!</v>
      </c>
      <c r="S18" s="1">
        <f>D18</f>
        <v>8</v>
      </c>
      <c r="T18" s="17"/>
    </row>
    <row r="19" spans="3:20" x14ac:dyDescent="0.25">
      <c r="C19" s="1" t="s">
        <v>11</v>
      </c>
      <c r="D19" s="1">
        <v>10</v>
      </c>
      <c r="E19" s="7">
        <v>213.9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2">
        <f t="shared" si="3"/>
        <v>213.9</v>
      </c>
      <c r="R19" s="2">
        <f t="shared" si="4"/>
        <v>203.20499999999998</v>
      </c>
      <c r="S19" s="1">
        <f>D19</f>
        <v>10</v>
      </c>
      <c r="T19" s="17">
        <v>10.5</v>
      </c>
    </row>
    <row r="20" spans="3:20" ht="24" x14ac:dyDescent="0.25">
      <c r="C20" s="3" t="s">
        <v>7</v>
      </c>
      <c r="D20" s="3" t="s">
        <v>8</v>
      </c>
      <c r="E20" s="38" t="s">
        <v>9</v>
      </c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" t="s">
        <v>10</v>
      </c>
      <c r="R20" s="4" t="s">
        <v>26</v>
      </c>
      <c r="S20" s="3" t="s">
        <v>8</v>
      </c>
      <c r="T20" s="3" t="s">
        <v>12</v>
      </c>
    </row>
    <row r="21" spans="3:20" x14ac:dyDescent="0.25">
      <c r="C21" s="1" t="s">
        <v>25</v>
      </c>
      <c r="D21" s="6">
        <v>1</v>
      </c>
      <c r="E21" s="7">
        <v>15.8</v>
      </c>
      <c r="F21" s="7"/>
      <c r="G21" s="7"/>
      <c r="H21" s="7"/>
      <c r="I21" s="7"/>
      <c r="J21" s="7"/>
      <c r="K21" s="18"/>
      <c r="L21" s="7"/>
      <c r="M21" s="7"/>
      <c r="N21" s="7"/>
      <c r="O21" s="7"/>
      <c r="P21" s="7"/>
      <c r="Q21" s="2">
        <f t="shared" ref="Q21:Q25" si="5">AVERAGE(E21:P21)</f>
        <v>15.8</v>
      </c>
      <c r="R21" s="2">
        <f>Q21*0.95</f>
        <v>15.01</v>
      </c>
      <c r="S21" s="1">
        <v>1</v>
      </c>
      <c r="T21" s="17">
        <v>4.3</v>
      </c>
    </row>
    <row r="22" spans="3:20" x14ac:dyDescent="0.25">
      <c r="C22" s="1" t="s">
        <v>25</v>
      </c>
      <c r="D22" s="1">
        <v>2</v>
      </c>
      <c r="E22" s="18">
        <v>21.6</v>
      </c>
      <c r="F22" s="7">
        <v>22.9</v>
      </c>
      <c r="G22" s="7">
        <v>18.899999999999999</v>
      </c>
      <c r="H22" s="7">
        <v>24.57</v>
      </c>
      <c r="I22" s="7">
        <v>19.7</v>
      </c>
      <c r="J22" s="7">
        <v>16.7</v>
      </c>
      <c r="K22" s="7">
        <v>24.57</v>
      </c>
      <c r="L22" s="7">
        <v>12.65</v>
      </c>
      <c r="M22" s="7"/>
      <c r="N22" s="7"/>
      <c r="O22" s="7"/>
      <c r="P22" s="7"/>
      <c r="Q22" s="2">
        <f t="shared" si="5"/>
        <v>20.19875</v>
      </c>
      <c r="R22" s="2">
        <f t="shared" ref="R22:R25" si="6">Q22*0.95</f>
        <v>19.188812500000001</v>
      </c>
      <c r="S22" s="1">
        <v>2</v>
      </c>
      <c r="T22" s="17">
        <v>4.5</v>
      </c>
    </row>
    <row r="23" spans="3:20" x14ac:dyDescent="0.25">
      <c r="C23" s="1" t="s">
        <v>25</v>
      </c>
      <c r="D23" s="1">
        <v>4</v>
      </c>
      <c r="E23" s="18">
        <v>36</v>
      </c>
      <c r="F23" s="7">
        <v>32.9</v>
      </c>
      <c r="G23" s="7">
        <v>29.9</v>
      </c>
      <c r="H23" s="7">
        <v>38.97</v>
      </c>
      <c r="I23" s="7">
        <v>32.49</v>
      </c>
      <c r="J23" s="7">
        <v>23.99</v>
      </c>
      <c r="K23" s="7">
        <v>25</v>
      </c>
      <c r="L23" s="7">
        <v>38.97</v>
      </c>
      <c r="M23" s="7">
        <v>19.989999999999998</v>
      </c>
      <c r="N23" s="7"/>
      <c r="O23" s="7"/>
      <c r="P23" s="7"/>
      <c r="Q23" s="2">
        <f t="shared" si="5"/>
        <v>30.912222222222226</v>
      </c>
      <c r="R23" s="2">
        <f t="shared" si="6"/>
        <v>29.366611111111112</v>
      </c>
      <c r="S23" s="1">
        <f>D23</f>
        <v>4</v>
      </c>
      <c r="T23" s="17">
        <v>6.3</v>
      </c>
    </row>
    <row r="24" spans="3:20" x14ac:dyDescent="0.25">
      <c r="C24" s="1" t="s">
        <v>25</v>
      </c>
      <c r="D24" s="1">
        <v>6</v>
      </c>
      <c r="E24" s="7">
        <v>42.9</v>
      </c>
      <c r="F24" s="7">
        <v>42.9</v>
      </c>
      <c r="G24" s="7">
        <v>42.89</v>
      </c>
      <c r="H24" s="7">
        <v>34</v>
      </c>
      <c r="I24" s="7">
        <v>26.6</v>
      </c>
      <c r="J24" s="7">
        <v>25.85</v>
      </c>
      <c r="K24" s="7"/>
      <c r="L24" s="7"/>
      <c r="M24" s="7"/>
      <c r="N24" s="7"/>
      <c r="O24" s="7"/>
      <c r="P24" s="7"/>
      <c r="Q24" s="2">
        <f t="shared" si="5"/>
        <v>35.856666666666662</v>
      </c>
      <c r="R24" s="2">
        <f t="shared" si="6"/>
        <v>34.063833333333328</v>
      </c>
      <c r="S24" s="1">
        <f>D24</f>
        <v>6</v>
      </c>
      <c r="T24" s="17">
        <v>3.9</v>
      </c>
    </row>
    <row r="25" spans="3:20" x14ac:dyDescent="0.25">
      <c r="C25" s="1" t="s">
        <v>25</v>
      </c>
      <c r="D25" s="1">
        <v>8</v>
      </c>
      <c r="E25" s="7">
        <v>54.9</v>
      </c>
      <c r="F25" s="7">
        <v>32.450000000000003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2">
        <f t="shared" si="5"/>
        <v>43.674999999999997</v>
      </c>
      <c r="R25" s="2">
        <f t="shared" si="6"/>
        <v>41.491249999999994</v>
      </c>
      <c r="S25" s="1">
        <f>D25</f>
        <v>8</v>
      </c>
      <c r="T25" s="17">
        <v>3.6</v>
      </c>
    </row>
    <row r="26" spans="3:20" ht="24" x14ac:dyDescent="0.25">
      <c r="C26" s="3" t="s">
        <v>7</v>
      </c>
      <c r="D26" s="3" t="s">
        <v>8</v>
      </c>
      <c r="E26" s="38" t="s">
        <v>9</v>
      </c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" t="s">
        <v>10</v>
      </c>
      <c r="R26" s="4" t="s">
        <v>26</v>
      </c>
      <c r="S26" s="3" t="s">
        <v>8</v>
      </c>
      <c r="T26" s="3" t="s">
        <v>12</v>
      </c>
    </row>
    <row r="27" spans="3:20" x14ac:dyDescent="0.25">
      <c r="C27" s="1" t="s">
        <v>27</v>
      </c>
      <c r="D27" s="6">
        <v>1</v>
      </c>
      <c r="E27" s="7">
        <v>50</v>
      </c>
      <c r="F27" s="7">
        <v>31.9</v>
      </c>
      <c r="G27" s="7">
        <v>28.5</v>
      </c>
      <c r="H27" s="7">
        <v>40.92</v>
      </c>
      <c r="I27" s="7">
        <v>32.99</v>
      </c>
      <c r="J27" s="7">
        <v>30.9</v>
      </c>
      <c r="K27" s="18">
        <v>27.14</v>
      </c>
      <c r="L27" s="7">
        <v>31.8</v>
      </c>
      <c r="M27" s="7">
        <v>34.9</v>
      </c>
      <c r="N27" s="7"/>
      <c r="O27" s="7"/>
      <c r="P27" s="7"/>
      <c r="Q27" s="2">
        <f t="shared" ref="Q27:Q28" si="7">AVERAGE(E27:P27)</f>
        <v>34.338888888888889</v>
      </c>
      <c r="R27" s="2">
        <f>Q27*0.95</f>
        <v>32.621944444444445</v>
      </c>
      <c r="S27" s="1">
        <v>1</v>
      </c>
      <c r="T27" s="17">
        <v>6.39</v>
      </c>
    </row>
    <row r="28" spans="3:20" x14ac:dyDescent="0.25">
      <c r="C28" s="1" t="s">
        <v>27</v>
      </c>
      <c r="D28" s="1">
        <v>2</v>
      </c>
      <c r="E28" s="18">
        <v>56.94</v>
      </c>
      <c r="F28" s="7">
        <v>77.819999999999993</v>
      </c>
      <c r="G28" s="7">
        <v>57.89</v>
      </c>
      <c r="H28" s="7"/>
      <c r="I28" s="7"/>
      <c r="J28" s="7"/>
      <c r="K28" s="7"/>
      <c r="L28" s="7"/>
      <c r="M28" s="7"/>
      <c r="N28" s="7"/>
      <c r="O28" s="7"/>
      <c r="P28" s="7"/>
      <c r="Q28" s="2">
        <f t="shared" si="7"/>
        <v>64.216666666666654</v>
      </c>
      <c r="R28" s="2">
        <f t="shared" ref="R28" si="8">Q28*0.95</f>
        <v>61.005833333333321</v>
      </c>
      <c r="S28" s="1">
        <v>2</v>
      </c>
      <c r="T28" s="17">
        <v>13.6</v>
      </c>
    </row>
    <row r="29" spans="3:20" ht="24" x14ac:dyDescent="0.25">
      <c r="C29" s="3" t="s">
        <v>7</v>
      </c>
      <c r="D29" s="3" t="s">
        <v>8</v>
      </c>
      <c r="E29" s="38" t="s">
        <v>9</v>
      </c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" t="s">
        <v>10</v>
      </c>
      <c r="R29" s="4" t="s">
        <v>26</v>
      </c>
      <c r="S29" s="3" t="s">
        <v>8</v>
      </c>
      <c r="T29" s="3" t="s">
        <v>12</v>
      </c>
    </row>
    <row r="30" spans="3:20" x14ac:dyDescent="0.25">
      <c r="C30" s="1" t="s">
        <v>34</v>
      </c>
      <c r="D30" s="6">
        <v>1</v>
      </c>
      <c r="E30" s="7">
        <v>62.9</v>
      </c>
      <c r="F30" s="7">
        <v>98.53</v>
      </c>
      <c r="G30" s="7">
        <v>89.89</v>
      </c>
      <c r="H30" s="7">
        <v>99.06</v>
      </c>
      <c r="I30" s="7">
        <v>99</v>
      </c>
      <c r="J30" s="7">
        <v>90</v>
      </c>
      <c r="K30" s="18"/>
      <c r="L30" s="7"/>
      <c r="M30" s="7"/>
      <c r="N30" s="7"/>
      <c r="O30" s="7"/>
      <c r="P30" s="7"/>
      <c r="Q30" s="2">
        <f t="shared" ref="Q30" si="9">AVERAGE(E30:P30)</f>
        <v>89.896666666666661</v>
      </c>
      <c r="R30" s="2">
        <f>Q30*0.95</f>
        <v>85.401833333333329</v>
      </c>
      <c r="S30" s="1">
        <v>1</v>
      </c>
      <c r="T30" s="17">
        <v>6.39</v>
      </c>
    </row>
    <row r="31" spans="3:20" ht="24" x14ac:dyDescent="0.25">
      <c r="C31" s="35" t="s">
        <v>7</v>
      </c>
      <c r="D31" s="35" t="s">
        <v>8</v>
      </c>
      <c r="E31" s="38" t="s">
        <v>9</v>
      </c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5" t="s">
        <v>10</v>
      </c>
      <c r="R31" s="4" t="s">
        <v>26</v>
      </c>
      <c r="S31" s="35" t="s">
        <v>8</v>
      </c>
      <c r="T31" s="35" t="s">
        <v>12</v>
      </c>
    </row>
    <row r="32" spans="3:20" x14ac:dyDescent="0.25">
      <c r="C32" s="1" t="s">
        <v>36</v>
      </c>
      <c r="D32" s="6">
        <v>1</v>
      </c>
      <c r="E32" s="7"/>
      <c r="F32" s="7"/>
      <c r="G32" s="7"/>
      <c r="H32" s="7"/>
      <c r="I32" s="7"/>
      <c r="J32" s="7"/>
      <c r="K32" s="18"/>
      <c r="L32" s="7"/>
      <c r="M32" s="7"/>
      <c r="N32" s="7"/>
      <c r="O32" s="7"/>
      <c r="P32" s="7"/>
      <c r="Q32" s="2" t="e">
        <f t="shared" ref="Q32:Q36" si="10">AVERAGE(E32:P32)</f>
        <v>#DIV/0!</v>
      </c>
      <c r="R32" s="2" t="e">
        <f>Q32*0.95</f>
        <v>#DIV/0!</v>
      </c>
      <c r="S32" s="1">
        <v>1</v>
      </c>
      <c r="T32" s="17">
        <v>4.3</v>
      </c>
    </row>
    <row r="33" spans="3:20" x14ac:dyDescent="0.25">
      <c r="C33" s="1" t="s">
        <v>36</v>
      </c>
      <c r="D33" s="1">
        <v>5</v>
      </c>
      <c r="E33" s="18">
        <v>23.91</v>
      </c>
      <c r="F33" s="7">
        <v>29.29</v>
      </c>
      <c r="G33" s="7">
        <v>28</v>
      </c>
      <c r="H33" s="7"/>
      <c r="I33" s="7"/>
      <c r="J33" s="7"/>
      <c r="K33" s="7"/>
      <c r="L33" s="7"/>
      <c r="M33" s="7"/>
      <c r="N33" s="7"/>
      <c r="O33" s="7"/>
      <c r="P33" s="7"/>
      <c r="Q33" s="2">
        <f t="shared" si="10"/>
        <v>27.066666666666666</v>
      </c>
      <c r="R33" s="2">
        <f t="shared" ref="R33:R36" si="11">Q33*0.95</f>
        <v>25.713333333333331</v>
      </c>
      <c r="S33" s="1">
        <v>2</v>
      </c>
      <c r="T33" s="17">
        <v>4.5</v>
      </c>
    </row>
    <row r="34" spans="3:20" x14ac:dyDescent="0.25">
      <c r="C34" s="1" t="s">
        <v>36</v>
      </c>
      <c r="D34" s="1">
        <v>7</v>
      </c>
      <c r="E34" s="18">
        <v>29.92</v>
      </c>
      <c r="F34" s="7">
        <v>40.799999999999997</v>
      </c>
      <c r="G34" s="7">
        <v>36.89</v>
      </c>
      <c r="H34" s="7">
        <v>38.29</v>
      </c>
      <c r="I34" s="7">
        <v>39.299999999999997</v>
      </c>
      <c r="J34" s="7"/>
      <c r="K34" s="7"/>
      <c r="L34" s="7"/>
      <c r="M34" s="7"/>
      <c r="N34" s="7"/>
      <c r="O34" s="7"/>
      <c r="P34" s="7"/>
      <c r="Q34" s="2">
        <f t="shared" si="10"/>
        <v>37.04</v>
      </c>
      <c r="R34" s="2">
        <f t="shared" si="11"/>
        <v>35.187999999999995</v>
      </c>
      <c r="S34" s="1">
        <f>D34</f>
        <v>7</v>
      </c>
      <c r="T34" s="17">
        <v>6.3</v>
      </c>
    </row>
    <row r="35" spans="3:20" x14ac:dyDescent="0.25">
      <c r="C35" s="1" t="s">
        <v>36</v>
      </c>
      <c r="D35" s="1">
        <v>8</v>
      </c>
      <c r="E35" s="7">
        <v>33.96</v>
      </c>
      <c r="F35" s="7">
        <v>42.29</v>
      </c>
      <c r="G35" s="7">
        <v>43.3</v>
      </c>
      <c r="H35" s="7"/>
      <c r="I35" s="7"/>
      <c r="J35" s="7"/>
      <c r="K35" s="7"/>
      <c r="L35" s="7"/>
      <c r="M35" s="7"/>
      <c r="N35" s="7"/>
      <c r="O35" s="7"/>
      <c r="P35" s="7"/>
      <c r="Q35" s="2">
        <f t="shared" si="10"/>
        <v>39.85</v>
      </c>
      <c r="R35" s="2">
        <f t="shared" si="11"/>
        <v>37.857500000000002</v>
      </c>
      <c r="S35" s="1">
        <f>D35</f>
        <v>8</v>
      </c>
      <c r="T35" s="17">
        <v>3.9</v>
      </c>
    </row>
    <row r="36" spans="3:20" x14ac:dyDescent="0.25">
      <c r="C36" s="1" t="s">
        <v>36</v>
      </c>
      <c r="D36" s="1">
        <v>10</v>
      </c>
      <c r="E36" s="7">
        <v>40.93</v>
      </c>
      <c r="F36" s="7">
        <v>43.37</v>
      </c>
      <c r="G36" s="7">
        <v>53.29</v>
      </c>
      <c r="H36" s="7">
        <v>56.3</v>
      </c>
      <c r="I36" s="7"/>
      <c r="J36" s="7"/>
      <c r="K36" s="7"/>
      <c r="L36" s="7"/>
      <c r="M36" s="7"/>
      <c r="N36" s="7"/>
      <c r="O36" s="7"/>
      <c r="P36" s="7"/>
      <c r="Q36" s="2">
        <f t="shared" si="10"/>
        <v>48.472499999999997</v>
      </c>
      <c r="R36" s="2">
        <f t="shared" si="11"/>
        <v>46.048874999999995</v>
      </c>
      <c r="S36" s="1">
        <f>D36</f>
        <v>10</v>
      </c>
      <c r="T36" s="17">
        <v>3.6</v>
      </c>
    </row>
  </sheetData>
  <mergeCells count="7">
    <mergeCell ref="E31:P31"/>
    <mergeCell ref="C3:T3"/>
    <mergeCell ref="E29:P29"/>
    <mergeCell ref="E4:P4"/>
    <mergeCell ref="E13:P13"/>
    <mergeCell ref="E20:P20"/>
    <mergeCell ref="E26:P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Shopee</vt:lpstr>
      <vt:lpstr>Shein</vt:lpstr>
      <vt:lpstr>Tabela de Preço(TESTE)</vt:lpstr>
      <vt:lpstr>Média de preço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pedro marinoto</dc:creator>
  <cp:lastModifiedBy>Joao pedro marinoto</cp:lastModifiedBy>
  <dcterms:created xsi:type="dcterms:W3CDTF">2025-07-04T16:54:33Z</dcterms:created>
  <dcterms:modified xsi:type="dcterms:W3CDTF">2026-03-10T20:03:26Z</dcterms:modified>
</cp:coreProperties>
</file>